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drawings/drawing7.xml" ContentType="application/vnd.openxmlformats-officedocument.drawing+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showInkAnnotation="0" updateLinks="always"/>
  <mc:AlternateContent xmlns:mc="http://schemas.openxmlformats.org/markup-compatibility/2006">
    <mc:Choice Requires="x15">
      <x15ac:absPath xmlns:x15ac="http://schemas.microsoft.com/office/spreadsheetml/2010/11/ac" url="https://d.docs.live.net/744f69c7f9399f72/Documentos/PLATAFORMA DE EFICIENCIA ENERGETICA/"/>
    </mc:Choice>
  </mc:AlternateContent>
  <xr:revisionPtr revIDLastSave="0" documentId="8_{B887C99F-B3BF-4C14-AE4E-20CA3F89B3A5}" xr6:coauthVersionLast="47" xr6:coauthVersionMax="47" xr10:uidLastSave="{00000000-0000-0000-0000-000000000000}"/>
  <workbookProtection workbookAlgorithmName="SHA-512" workbookHashValue="jnbcLC9CygQ+fDRaAMxmWFyawCrFL1rFTsJJ3k2FDXgY9OsE/9uwUvRDqt0Z6fixpJ9kCGi/BMSpGY0Rq6h6wA==" workbookSaltValue="1nCeuFmqJ5cbDFm/b/OC1g==" workbookSpinCount="100000" lockStructure="1"/>
  <bookViews>
    <workbookView xWindow="-120" yWindow="-120" windowWidth="20730" windowHeight="11040" tabRatio="500" firstSheet="5" activeTab="7" xr2:uid="{00000000-000D-0000-FFFF-FFFF00000000}"/>
  </bookViews>
  <sheets>
    <sheet name="ILUMINACIÓN" sheetId="1" r:id="rId1"/>
    <sheet name="CÓMPUTO" sheetId="2" r:id="rId2"/>
    <sheet name="FUERZA" sheetId="3" r:id="rId3"/>
    <sheet name="AIRE AC." sheetId="4" r:id="rId4"/>
    <sheet name="ELECTRODOMESTICOS" sheetId="8" r:id="rId5"/>
    <sheet name="VOZ-DATOS Y VIDEOVIGILANCIA" sheetId="12" r:id="rId6"/>
    <sheet name="EQUIPOS PERSONALES" sheetId="22" r:id="rId7"/>
    <sheet name="OTROS" sheetId="23" r:id="rId8"/>
  </sheets>
  <definedNames>
    <definedName name="_xlnm._FilterDatabase" localSheetId="1" hidden="1">CÓMPUTO!$A$7:$M$9</definedName>
    <definedName name="_xlnm._FilterDatabase" localSheetId="4" hidden="1">ELECTRODOMESTICOS!$A$8:$L$10</definedName>
    <definedName name="_xlnm._FilterDatabase" localSheetId="0" hidden="1">ILUMINACIÓN!$A$8:$P$150</definedName>
    <definedName name="_xlnm._FilterDatabase" localSheetId="5" hidden="1">'VOZ-DATOS Y VIDEOVIGILANCIA'!$A$8:$L$10</definedName>
    <definedName name="_xlnm.Print_Area" localSheetId="3">'AIRE AC.'!$A$1:$P$10</definedName>
    <definedName name="_xlnm.Print_Area" localSheetId="1">CÓMPUTO!$A$1:$M$9</definedName>
    <definedName name="_xlnm.Print_Area" localSheetId="4">ELECTRODOMESTICOS!$A$1:$L$19</definedName>
    <definedName name="_xlnm.Print_Area" localSheetId="2">FUERZA!$A$1:$P$10</definedName>
    <definedName name="_xlnm.Print_Area" localSheetId="0">ILUMINACIÓN!$A$1:$P$10</definedName>
    <definedName name="_xlnm.Print_Area" localSheetId="5">'VOZ-DATOS Y VIDEOVIGILANCIA'!$A$1:$L$30</definedName>
    <definedName name="_xlnm.Print_Titles" localSheetId="1">CÓMPUTO!$6:$8</definedName>
    <definedName name="_xlnm.Print_Titles" localSheetId="4">ELECTRODOMESTICOS!$6:$9</definedName>
    <definedName name="_xlnm.Print_Titles" localSheetId="0">ILUMINACIÓN!$6:$9</definedName>
    <definedName name="_xlnm.Print_Titles" localSheetId="5">'VOZ-DATOS Y VIDEOVIGILANCIA'!$6:$9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I19" i="2" l="1"/>
  <c r="M19" i="2" s="1"/>
  <c r="L19" i="2"/>
  <c r="I18" i="2"/>
  <c r="L18" i="2"/>
  <c r="M18" i="2" s="1"/>
  <c r="I20" i="2"/>
  <c r="M20" i="2" s="1"/>
  <c r="L20" i="2"/>
  <c r="I17" i="2"/>
  <c r="M17" i="2" s="1"/>
  <c r="L17" i="2"/>
  <c r="L12" i="23"/>
  <c r="L13" i="23"/>
  <c r="L14" i="23"/>
  <c r="L15" i="23"/>
  <c r="L16" i="23"/>
  <c r="L17" i="23"/>
  <c r="L18" i="23"/>
  <c r="L19" i="23"/>
  <c r="L20" i="23"/>
  <c r="L21" i="23"/>
  <c r="L22" i="23"/>
  <c r="K12" i="23"/>
  <c r="K13" i="23"/>
  <c r="K14" i="23"/>
  <c r="K15" i="23"/>
  <c r="K16" i="23"/>
  <c r="K17" i="23"/>
  <c r="K18" i="23"/>
  <c r="K19" i="23"/>
  <c r="K20" i="23"/>
  <c r="K21" i="23"/>
  <c r="K22" i="23"/>
  <c r="H12" i="23"/>
  <c r="H13" i="23"/>
  <c r="H14" i="23"/>
  <c r="H15" i="23"/>
  <c r="H16" i="23"/>
  <c r="H17" i="23"/>
  <c r="H18" i="23"/>
  <c r="H19" i="23"/>
  <c r="H20" i="23"/>
  <c r="H21" i="23"/>
  <c r="H22" i="23"/>
  <c r="L12" i="22"/>
  <c r="L13" i="22"/>
  <c r="L14" i="22"/>
  <c r="L15" i="22"/>
  <c r="L16" i="22"/>
  <c r="L17" i="22"/>
  <c r="L18" i="22"/>
  <c r="L19" i="22"/>
  <c r="L20" i="22"/>
  <c r="L21" i="22"/>
  <c r="L22" i="22"/>
  <c r="K12" i="22"/>
  <c r="K13" i="22"/>
  <c r="K14" i="22"/>
  <c r="K15" i="22"/>
  <c r="K16" i="22"/>
  <c r="K17" i="22"/>
  <c r="K18" i="22"/>
  <c r="K19" i="22"/>
  <c r="K20" i="22"/>
  <c r="K21" i="22"/>
  <c r="K22" i="22"/>
  <c r="H12" i="22"/>
  <c r="H13" i="22"/>
  <c r="H14" i="22"/>
  <c r="H15" i="22"/>
  <c r="H16" i="22"/>
  <c r="H17" i="22"/>
  <c r="H18" i="22"/>
  <c r="H19" i="22"/>
  <c r="H20" i="22"/>
  <c r="H21" i="22"/>
  <c r="H22" i="22"/>
  <c r="L12" i="12"/>
  <c r="L13" i="12"/>
  <c r="L14" i="12"/>
  <c r="L15" i="12"/>
  <c r="L16" i="12"/>
  <c r="L17" i="12"/>
  <c r="L18" i="12"/>
  <c r="L19" i="12"/>
  <c r="L20" i="12"/>
  <c r="L21" i="12"/>
  <c r="L22" i="12"/>
  <c r="K12" i="12"/>
  <c r="K13" i="12"/>
  <c r="K14" i="12"/>
  <c r="K15" i="12"/>
  <c r="K16" i="12"/>
  <c r="K17" i="12"/>
  <c r="K18" i="12"/>
  <c r="K19" i="12"/>
  <c r="K20" i="12"/>
  <c r="K21" i="12"/>
  <c r="K22" i="12"/>
  <c r="H12" i="12"/>
  <c r="H13" i="12"/>
  <c r="H14" i="12"/>
  <c r="H15" i="12"/>
  <c r="H16" i="12"/>
  <c r="H17" i="12"/>
  <c r="H18" i="12"/>
  <c r="H19" i="12"/>
  <c r="H20" i="12"/>
  <c r="H21" i="12"/>
  <c r="H22" i="12"/>
  <c r="L12" i="8"/>
  <c r="L13" i="8"/>
  <c r="L14" i="8"/>
  <c r="L15" i="8"/>
  <c r="L16" i="8"/>
  <c r="L17" i="8"/>
  <c r="L18" i="8"/>
  <c r="L19" i="8"/>
  <c r="K12" i="8"/>
  <c r="K13" i="8"/>
  <c r="K14" i="8"/>
  <c r="K15" i="8"/>
  <c r="K16" i="8"/>
  <c r="K17" i="8"/>
  <c r="K18" i="8"/>
  <c r="K19" i="8"/>
  <c r="H12" i="8"/>
  <c r="H13" i="8"/>
  <c r="H14" i="8"/>
  <c r="H15" i="8"/>
  <c r="H16" i="8"/>
  <c r="H17" i="8"/>
  <c r="H18" i="8"/>
  <c r="H19" i="8"/>
  <c r="P11" i="4"/>
  <c r="P12" i="4"/>
  <c r="P13" i="4"/>
  <c r="P14" i="4"/>
  <c r="P15" i="4"/>
  <c r="P16" i="4"/>
  <c r="P17" i="4"/>
  <c r="P18" i="4"/>
  <c r="N11" i="4"/>
  <c r="N12" i="4"/>
  <c r="N13" i="4"/>
  <c r="N14" i="4"/>
  <c r="N15" i="4"/>
  <c r="N16" i="4"/>
  <c r="N17" i="4"/>
  <c r="N18" i="4"/>
  <c r="K11" i="4"/>
  <c r="K12" i="4"/>
  <c r="K13" i="4"/>
  <c r="K14" i="4"/>
  <c r="K15" i="4"/>
  <c r="K16" i="4"/>
  <c r="K17" i="4"/>
  <c r="K18" i="4"/>
  <c r="N12" i="3"/>
  <c r="N13" i="3"/>
  <c r="M12" i="3"/>
  <c r="M13" i="3"/>
  <c r="I12" i="3"/>
  <c r="I13" i="3"/>
  <c r="L11" i="2"/>
  <c r="L12" i="2"/>
  <c r="L13" i="2"/>
  <c r="L14" i="2"/>
  <c r="L15" i="2"/>
  <c r="L16" i="2"/>
  <c r="I11" i="2"/>
  <c r="M11" i="2" s="1"/>
  <c r="I12" i="2"/>
  <c r="M12" i="2" s="1"/>
  <c r="I13" i="2"/>
  <c r="M13" i="2" s="1"/>
  <c r="I14" i="2"/>
  <c r="M14" i="2" s="1"/>
  <c r="I15" i="2"/>
  <c r="M15" i="2" s="1"/>
  <c r="I16" i="2"/>
  <c r="O12" i="1"/>
  <c r="O13" i="1"/>
  <c r="O14" i="1"/>
  <c r="O15" i="1"/>
  <c r="O16" i="1"/>
  <c r="O17" i="1"/>
  <c r="O18" i="1"/>
  <c r="O19" i="1"/>
  <c r="M12" i="1"/>
  <c r="M13" i="1"/>
  <c r="M14" i="1"/>
  <c r="M15" i="1"/>
  <c r="M16" i="1"/>
  <c r="M17" i="1"/>
  <c r="M18" i="1"/>
  <c r="M19" i="1"/>
  <c r="J12" i="1"/>
  <c r="J13" i="1"/>
  <c r="J14" i="1"/>
  <c r="J15" i="1"/>
  <c r="J16" i="1"/>
  <c r="J17" i="1"/>
  <c r="J18" i="1"/>
  <c r="J19" i="1"/>
  <c r="H12" i="1"/>
  <c r="H13" i="1"/>
  <c r="H14" i="1"/>
  <c r="H15" i="1"/>
  <c r="H16" i="1"/>
  <c r="H17" i="1"/>
  <c r="H18" i="1"/>
  <c r="H19" i="1"/>
  <c r="L11" i="23"/>
  <c r="K11" i="23"/>
  <c r="H11" i="23"/>
  <c r="L11" i="22"/>
  <c r="K11" i="22"/>
  <c r="H11" i="22"/>
  <c r="L11" i="12"/>
  <c r="K11" i="12"/>
  <c r="H11" i="12"/>
  <c r="L11" i="8"/>
  <c r="K11" i="8"/>
  <c r="H11" i="8"/>
  <c r="N10" i="4"/>
  <c r="K10" i="4"/>
  <c r="P10" i="4" s="1"/>
  <c r="N11" i="3"/>
  <c r="M11" i="3"/>
  <c r="I11" i="3"/>
  <c r="L10" i="2"/>
  <c r="I10" i="2"/>
  <c r="M10" i="2" s="1"/>
  <c r="O11" i="1"/>
  <c r="M11" i="1"/>
  <c r="J11" i="1"/>
  <c r="H11" i="1"/>
  <c r="M16" i="2" l="1"/>
</calcChain>
</file>

<file path=xl/sharedStrings.xml><?xml version="1.0" encoding="utf-8"?>
<sst xmlns="http://schemas.openxmlformats.org/spreadsheetml/2006/main" count="243" uniqueCount="86">
  <si>
    <t>Edificio</t>
  </si>
  <si>
    <t>Nivel</t>
  </si>
  <si>
    <t>Lámpara 
por Luminario</t>
  </si>
  <si>
    <t>Horas de operación (Lun-Vie)</t>
  </si>
  <si>
    <t>Horas de Operación (Sáb-Dom)</t>
  </si>
  <si>
    <t>Horas de operación Totales a la Semana</t>
  </si>
  <si>
    <t>Consumo en KWh/año</t>
  </si>
  <si>
    <t>Observaciones</t>
  </si>
  <si>
    <t>Capacidad [Hp]</t>
  </si>
  <si>
    <t>BTU/HR</t>
  </si>
  <si>
    <t>Volts</t>
  </si>
  <si>
    <t>Secretaria/Dependencia</t>
  </si>
  <si>
    <t>Area Especifica</t>
  </si>
  <si>
    <t>Descripción de la luminaria</t>
  </si>
  <si>
    <t>Potencia (W)</t>
  </si>
  <si>
    <t>Cantidad de Luminarios</t>
  </si>
  <si>
    <t>Consumo (KWh/año)</t>
  </si>
  <si>
    <t>Potencia 
(W)</t>
  </si>
  <si>
    <t>Consumo en espera</t>
  </si>
  <si>
    <t>Volts (V)</t>
  </si>
  <si>
    <t>Cantidad</t>
  </si>
  <si>
    <t>Año en que se instalo</t>
  </si>
  <si>
    <t>Consumo total kWh/año</t>
  </si>
  <si>
    <t>Descripción del equipo electrico</t>
  </si>
  <si>
    <t>Ayuda: Asistencia para localizar los datos necesarios en la placa de datos del equipo</t>
  </si>
  <si>
    <t xml:space="preserve"> </t>
  </si>
  <si>
    <t>CARGA INSTALADA
FUERZA</t>
  </si>
  <si>
    <t>CARGA INSTALADA
 EQUIPOS DE CÓMPUTO</t>
  </si>
  <si>
    <t>CARGA INSTALADA
ILUMINACIÓN</t>
  </si>
  <si>
    <t>CARGA INSTALADA
AIRE ACONDICIONADO Y CALEFACCIÓN</t>
  </si>
  <si>
    <t>Ayuda: Asistencia para localizar los datos necesarios en la placa de datos del equipo
Imagenes comparativas de los tipos de aire acondicionado</t>
  </si>
  <si>
    <t>CARGA INSTALADA
ELECTRODOMESTICOS</t>
  </si>
  <si>
    <t>Ayuda: Asistencia para localizar los datos necesarios en la placa de datos del equipo
Se proporcionan consumos promedios de equipos comunes, con la intención de dar un indicativo aproximado de aquellos equipos que no cuenten con una placa de datos</t>
  </si>
  <si>
    <t>CARGA INSTALADA
VOZ-DATOS Y VIDEOVIGILANCIA</t>
  </si>
  <si>
    <t>Nota: En este formato se considerarán todos los equipos ajenos al inmueble, propiedad del trabajador como: adornos de escritorio, ventiladores/calefactores individuales, laptos, cargadores de celular, tablets, relojs, etc.
La descripción se compone de la siguiente forma; Equipo+marca+especificaciones, ejemplo (Cargador de celular Samsung de 20 W)</t>
  </si>
  <si>
    <t>Ayuda: Asistencia para localizar los datos necesarios en la placa de datos del equipo
Mostrar imágenes de los equipos que se deben incluir en este formato</t>
  </si>
  <si>
    <t>CARGA INSTALADA
EQUIPOS PERSONALES</t>
  </si>
  <si>
    <t>Ayuda: Asistencia para localizar los datos necesarios en la placa de datos del equipo
Mostrar imágenes ejemplo del tipo de equipos que se pueden incluir en este formato</t>
  </si>
  <si>
    <t>Secretaría/Dependencia</t>
  </si>
  <si>
    <t>Área EspecÍfica</t>
  </si>
  <si>
    <t>Total de lámparas</t>
  </si>
  <si>
    <t>Potencia (W) por lámpara</t>
  </si>
  <si>
    <t>Área en m2 del espacio</t>
  </si>
  <si>
    <t xml:space="preserve">Nota: En este formato se considerará como equipo de iluminación: focos, lámparas, lámparas de escritorio, focos decorativos, series, etc
La descripción se compone de la siguiente forma; tipo de luminario+especificaciones+marca+otro, ejemplo (foco tipo led de 24 celdas Great Value) </t>
  </si>
  <si>
    <t xml:space="preserve">Ayuda: Ejemplo visual de que es un luminario y qué es una lámpara
Cómo leer una placa de datos y dónde localizarla
Identificación de los diferentes equipos de iluminación 
</t>
  </si>
  <si>
    <t>Área especÍfica</t>
  </si>
  <si>
    <t xml:space="preserve">Descripción del equipo </t>
  </si>
  <si>
    <t xml:space="preserve">Nota: En este formato se considerará como equipo de cómputo: equipos de impresión y copiado, sacapuntas, no break, reguladores, teléfonos, computadoras de escritorio, laptops, trituradoras de papel, proyectores, etc (que formen parte del inventario del edifcio).
La descripción se compone de la siguiente forma; equipo+especificaciones+marca+otro
</t>
  </si>
  <si>
    <t>Secretaría/Dependecia</t>
  </si>
  <si>
    <t>Área específica</t>
  </si>
  <si>
    <t>Descripción del equipo</t>
  </si>
  <si>
    <t>Nota: En este formato se enlistará todo el equipamento que contenga un motor eléctrico como principio de funcionamiento  (elevadores, bombas, fuentes, etc)
La descripción se compone de la siguiente forma; equipo+especificaciones+marca+otro (ejemplo: bomba centrífuga sumergible de 30 W)</t>
  </si>
  <si>
    <t>Descripción del equipo de ventilación</t>
  </si>
  <si>
    <t>Amperes</t>
  </si>
  <si>
    <t>Área Específica</t>
  </si>
  <si>
    <t xml:space="preserve">Nota: En este formato se considerará como equipos de voz-datos y videovigilancia: Módem, teléfonos inalámbricos, routers, cámaras de vigilancia, pantallas de monitoreo, NVR (grabadores de video), etc. 
La descripción se compone de la siguiente forma; equipo+marca+especificaciones, ejemplo (Módem de 127x, LG, de largo alcance)
</t>
  </si>
  <si>
    <t>Descripción del equipo eléctrico</t>
  </si>
  <si>
    <t>Nota: En este formato se considerará como electrodomésticos: cafeteras, sandwicheras, tetéras, parrillas eléctricas, refrigeradores, televisores, frigoríficos, etc)
La descripción se compone de la siguiente forma; Equipo+funciones+marca+especificaciones, ejemplo (cafetera capacidad de 12 tazas, T-FAL, eléctrica de 80 W)</t>
  </si>
  <si>
    <t>Nota: En este formato se considerará como aire acondicionado y calefacción: mini splits, ventiladores tipo torre, pedestal, aire acondicionado de pared, etc.
La descripción se compone de la siguiente forma; Equipo+funcionalidad+capacidad+marca+especificaciones, ejemplo (Mini split de flujo continuo, 12 BTU, LG Inverter)</t>
  </si>
  <si>
    <t>Nota: En este formato se considerarán: todos aquellos equipos eléctricos que no se integraron en las anteriores clasificaciones
La descripción se compone de la siguiente forma: equipo+marca+especificaciones, ejemplo (Máquina dispensadora de dulces)</t>
  </si>
  <si>
    <t>Total de consumo 
(W)</t>
  </si>
  <si>
    <t>Total de consumo (W)</t>
  </si>
  <si>
    <t xml:space="preserve">Cantidad </t>
  </si>
  <si>
    <t>Columna1</t>
  </si>
  <si>
    <t>Columna2</t>
  </si>
  <si>
    <t>Columna3</t>
  </si>
  <si>
    <t>Columna4</t>
  </si>
  <si>
    <t>Columna5</t>
  </si>
  <si>
    <t>Columna6</t>
  </si>
  <si>
    <t>Columna7</t>
  </si>
  <si>
    <t>0</t>
  </si>
  <si>
    <t>Columna8</t>
  </si>
  <si>
    <t>09</t>
  </si>
  <si>
    <t>Columna10</t>
  </si>
  <si>
    <t>Columna11</t>
  </si>
  <si>
    <t>012</t>
  </si>
  <si>
    <t>Columna13</t>
  </si>
  <si>
    <t>014</t>
  </si>
  <si>
    <t>Columna15</t>
  </si>
  <si>
    <t>0.00</t>
  </si>
  <si>
    <t>Columna9</t>
  </si>
  <si>
    <t>0.0011</t>
  </si>
  <si>
    <t>Columna12</t>
  </si>
  <si>
    <t>Columna14</t>
  </si>
  <si>
    <t>0.0</t>
  </si>
  <si>
    <t>0.0010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</si>
</sst>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x14ac:knownFonts="1">
    <font>
      <sz val="12"/>
      <color theme="1"/>
      <name val="Calibri"/>
      <family val="2"/>
      <scheme val="minor"/>
    </font>
    <font>
      <sz val="12"/>
      <color theme="1"/>
      <name val="Calibri"/>
      <family val="2"/>
      <scheme val="minor"/>
    </font>
    <font>
      <sz val="9"/>
      <color theme="1"/>
      <name val="Montserrat"/>
      <family val="3"/>
    </font>
    <font>
      <b/>
      <sz val="9"/>
      <color indexed="8"/>
      <name val="Montserrat"/>
      <family val="3"/>
    </font>
    <font>
      <sz val="11"/>
      <color theme="1"/>
      <name val="Montserrat"/>
      <family val="3"/>
    </font>
    <font>
      <sz val="10"/>
      <name val="Montserrat"/>
      <family val="3"/>
    </font>
    <font>
      <sz val="10"/>
      <name val="Arial"/>
      <family val="2"/>
    </font>
    <font>
      <b/>
      <sz val="10"/>
      <color theme="0"/>
      <name val="Montserrat"/>
      <family val="3"/>
    </font>
    <font>
      <b/>
      <sz val="9"/>
      <color theme="0"/>
      <name val="Montserrat"/>
      <family val="3"/>
    </font>
    <font>
      <b/>
      <sz val="11"/>
      <color theme="0"/>
      <name val="Montserrat"/>
      <family val="3"/>
    </font>
    <font>
      <sz val="10"/>
      <color theme="1"/>
      <name val="Montserrat"/>
    </font>
    <font>
      <b/>
      <sz val="10"/>
      <color theme="0"/>
      <name val="Montserrat"/>
    </font>
    <font>
      <sz val="10"/>
      <color theme="0"/>
      <name val="Montserrat"/>
    </font>
    <font>
      <sz val="9"/>
      <color theme="1"/>
      <name val="Montserrat"/>
    </font>
    <font>
      <b/>
      <sz val="9"/>
      <color theme="0"/>
      <name val="Montserrat"/>
    </font>
    <font>
      <b/>
      <i/>
      <sz val="12"/>
      <color theme="1"/>
      <name val="Calibri"/>
      <family val="2"/>
      <scheme val="minor"/>
    </font>
    <font>
      <b/>
      <sz val="10"/>
      <color theme="1"/>
      <name val="Montserrat"/>
    </font>
    <font>
      <sz val="9"/>
      <color theme="0" tint="-4.9989318521683403E-2"/>
      <name val="Montserrat"/>
      <family val="3"/>
    </font>
    <font>
      <sz val="9"/>
      <color theme="0" tint="-4.9989318521683403E-2"/>
      <name val="Montserrat"/>
    </font>
    <font>
      <sz val="10"/>
      <color theme="0" tint="-4.9989318521683403E-2"/>
      <name val="Montserrat"/>
    </font>
    <font>
      <b/>
      <sz val="10"/>
      <color theme="0" tint="-4.9989318521683403E-2"/>
      <name val="Montserrat"/>
    </font>
    <font>
      <sz val="10"/>
      <color theme="0" tint="-4.9989318521683403E-2"/>
      <name val="Montserrat"/>
      <family val="3"/>
    </font>
    <font>
      <sz val="12"/>
      <color theme="0" tint="-4.9989318521683403E-2"/>
      <name val="Calibri"/>
      <family val="2"/>
      <scheme val="minor"/>
    </font>
    <font>
      <b/>
      <sz val="9"/>
      <color theme="0" tint="-4.9989318521683403E-2"/>
      <name val="Montserrat"/>
    </font>
  </fonts>
  <fills count="7">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indexed="9"/>
        <bgColor indexed="64"/>
      </patternFill>
    </fill>
    <fill>
      <patternFill patternType="solid">
        <fgColor rgb="FF691C31"/>
        <bgColor indexed="64"/>
      </patternFill>
    </fill>
    <fill>
      <patternFill patternType="solid">
        <fgColor theme="0" tint="-4.9989318521683403E-2"/>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bottom style="thin">
        <color auto="1"/>
      </bottom>
      <diagonal/>
    </border>
    <border>
      <left/>
      <right style="thin">
        <color theme="1"/>
      </right>
      <top style="thin">
        <color theme="1"/>
      </top>
      <bottom style="thin">
        <color theme="1"/>
      </bottom>
      <diagonal/>
    </border>
    <border>
      <left/>
      <right/>
      <top style="thin">
        <color theme="1"/>
      </top>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bottom style="thin">
        <color theme="1"/>
      </bottom>
      <diagonal/>
    </border>
    <border>
      <left/>
      <right style="thin">
        <color theme="1"/>
      </right>
      <top style="thin">
        <color theme="1"/>
      </top>
      <bottom/>
      <diagonal/>
    </border>
    <border>
      <left style="thin">
        <color theme="1"/>
      </left>
      <right/>
      <top style="thin">
        <color theme="1"/>
      </top>
      <bottom/>
      <diagonal/>
    </border>
    <border>
      <left style="thin">
        <color theme="1"/>
      </left>
      <right style="thin">
        <color theme="1"/>
      </right>
      <top/>
      <bottom/>
      <diagonal/>
    </border>
  </borders>
  <cellStyleXfs count="3">
    <xf numFmtId="0" fontId="0" fillId="0" borderId="0"/>
    <xf numFmtId="9" fontId="1" fillId="0" borderId="0" applyFont="0" applyFill="0" applyBorder="0" applyAlignment="0" applyProtection="0"/>
    <xf numFmtId="0" fontId="6" fillId="0" borderId="0"/>
  </cellStyleXfs>
  <cellXfs count="138">
    <xf numFmtId="0" fontId="0" fillId="0" borderId="0" xfId="0"/>
    <xf numFmtId="0" fontId="2" fillId="0" borderId="5" xfId="0" applyFont="1" applyBorder="1" applyAlignment="1" applyProtection="1">
      <alignment horizontal="center" vertical="center"/>
      <protection locked="0"/>
    </xf>
    <xf numFmtId="0" fontId="2" fillId="0" borderId="3" xfId="0" applyFont="1" applyBorder="1" applyAlignment="1" applyProtection="1">
      <alignment horizontal="center" vertical="center"/>
      <protection locked="0"/>
    </xf>
    <xf numFmtId="0" fontId="2" fillId="0" borderId="1" xfId="0" applyFont="1" applyBorder="1" applyAlignment="1" applyProtection="1">
      <alignment vertical="center" wrapText="1"/>
      <protection locked="0"/>
    </xf>
    <xf numFmtId="0" fontId="2" fillId="0" borderId="5" xfId="0" applyFont="1" applyBorder="1" applyAlignment="1" applyProtection="1">
      <alignment horizontal="center" vertical="center" wrapText="1"/>
      <protection locked="0"/>
    </xf>
    <xf numFmtId="0" fontId="2" fillId="0" borderId="2" xfId="0" applyFont="1" applyBorder="1" applyAlignment="1" applyProtection="1">
      <alignment horizontal="center" vertical="center"/>
      <protection locked="0"/>
    </xf>
    <xf numFmtId="0" fontId="2" fillId="0" borderId="3" xfId="0" applyFont="1" applyBorder="1" applyAlignment="1" applyProtection="1">
      <alignment horizontal="center" vertical="center" wrapText="1"/>
      <protection locked="0"/>
    </xf>
    <xf numFmtId="0" fontId="0" fillId="0" borderId="0" xfId="0" applyProtection="1">
      <protection locked="0"/>
    </xf>
    <xf numFmtId="0" fontId="17" fillId="6" borderId="5" xfId="0" applyFont="1" applyFill="1" applyBorder="1" applyAlignment="1">
      <alignment horizontal="center" vertical="center"/>
    </xf>
    <xf numFmtId="0" fontId="17" fillId="6" borderId="3" xfId="0" applyFont="1" applyFill="1" applyBorder="1" applyAlignment="1">
      <alignment horizontal="center" vertical="center"/>
    </xf>
    <xf numFmtId="0" fontId="17" fillId="6" borderId="1" xfId="0" applyFont="1" applyFill="1" applyBorder="1" applyAlignment="1">
      <alignment vertical="center" wrapText="1"/>
    </xf>
    <xf numFmtId="0" fontId="17" fillId="6" borderId="5" xfId="0" applyFont="1" applyFill="1" applyBorder="1" applyAlignment="1">
      <alignment horizontal="center" vertical="center" wrapText="1"/>
    </xf>
    <xf numFmtId="0" fontId="17" fillId="6" borderId="2" xfId="0" applyFont="1" applyFill="1" applyBorder="1" applyAlignment="1">
      <alignment horizontal="center" vertical="center"/>
    </xf>
    <xf numFmtId="0" fontId="17" fillId="6" borderId="3" xfId="0" applyFont="1" applyFill="1" applyBorder="1" applyAlignment="1">
      <alignment horizontal="center" vertical="center" wrapText="1"/>
    </xf>
    <xf numFmtId="0" fontId="2" fillId="0" borderId="2" xfId="0" applyFont="1" applyBorder="1" applyAlignment="1">
      <alignment horizontal="center" vertical="center"/>
    </xf>
    <xf numFmtId="0" fontId="0" fillId="0" borderId="0" xfId="0" applyAlignment="1" applyProtection="1">
      <alignment wrapText="1"/>
      <protection locked="0"/>
    </xf>
    <xf numFmtId="0" fontId="10" fillId="0" borderId="2" xfId="0" applyFont="1" applyBorder="1" applyAlignment="1" applyProtection="1">
      <alignment horizontal="center" wrapText="1"/>
      <protection locked="0"/>
    </xf>
    <xf numFmtId="0" fontId="13" fillId="0" borderId="2" xfId="0" applyFont="1" applyBorder="1" applyAlignment="1" applyProtection="1">
      <alignment horizontal="center" wrapText="1"/>
      <protection locked="0"/>
    </xf>
    <xf numFmtId="0" fontId="13" fillId="0" borderId="2" xfId="0" applyFont="1" applyBorder="1" applyAlignment="1" applyProtection="1">
      <alignment wrapText="1"/>
      <protection locked="0"/>
    </xf>
    <xf numFmtId="2" fontId="13" fillId="0" borderId="2" xfId="0" applyNumberFormat="1" applyFont="1" applyBorder="1" applyAlignment="1" applyProtection="1">
      <alignment horizontal="center" wrapText="1"/>
      <protection locked="0"/>
    </xf>
    <xf numFmtId="0" fontId="15" fillId="0" borderId="0" xfId="0" applyFont="1" applyAlignment="1" applyProtection="1">
      <alignment horizontal="left" vertical="top" wrapText="1"/>
      <protection locked="0"/>
    </xf>
    <xf numFmtId="0" fontId="13" fillId="0" borderId="5" xfId="0" applyFont="1" applyBorder="1" applyAlignment="1" applyProtection="1">
      <alignment horizontal="center" wrapText="1"/>
      <protection locked="0"/>
    </xf>
    <xf numFmtId="0" fontId="13" fillId="0" borderId="12" xfId="0" applyFont="1" applyBorder="1" applyAlignment="1" applyProtection="1">
      <alignment horizontal="center" wrapText="1"/>
      <protection locked="0"/>
    </xf>
    <xf numFmtId="0" fontId="13" fillId="0" borderId="7" xfId="0" applyFont="1" applyBorder="1" applyAlignment="1" applyProtection="1">
      <alignment horizontal="center" wrapText="1"/>
      <protection locked="0"/>
    </xf>
    <xf numFmtId="0" fontId="13" fillId="0" borderId="7" xfId="0" applyFont="1" applyBorder="1" applyAlignment="1" applyProtection="1">
      <alignment wrapText="1"/>
      <protection locked="0"/>
    </xf>
    <xf numFmtId="2" fontId="13" fillId="0" borderId="7" xfId="0" applyNumberFormat="1" applyFont="1" applyBorder="1" applyAlignment="1" applyProtection="1">
      <alignment horizontal="center" wrapText="1"/>
      <protection locked="0"/>
    </xf>
    <xf numFmtId="0" fontId="18" fillId="6" borderId="10" xfId="0" applyFont="1" applyFill="1" applyBorder="1" applyAlignment="1" applyProtection="1">
      <alignment horizontal="center" wrapText="1"/>
      <protection locked="0"/>
    </xf>
    <xf numFmtId="0" fontId="18" fillId="6" borderId="8" xfId="0" applyFont="1" applyFill="1" applyBorder="1" applyAlignment="1" applyProtection="1">
      <alignment horizontal="center" wrapText="1"/>
      <protection locked="0"/>
    </xf>
    <xf numFmtId="0" fontId="18" fillId="6" borderId="8" xfId="0" applyFont="1" applyFill="1" applyBorder="1" applyAlignment="1" applyProtection="1">
      <alignment wrapText="1"/>
      <protection locked="0"/>
    </xf>
    <xf numFmtId="2" fontId="18" fillId="6" borderId="8" xfId="0" applyNumberFormat="1" applyFont="1" applyFill="1" applyBorder="1" applyAlignment="1" applyProtection="1">
      <alignment horizontal="center" wrapText="1"/>
      <protection locked="0"/>
    </xf>
    <xf numFmtId="2" fontId="18" fillId="6" borderId="11" xfId="0" applyNumberFormat="1" applyFont="1" applyFill="1" applyBorder="1" applyAlignment="1" applyProtection="1">
      <alignment horizontal="center" wrapText="1"/>
      <protection locked="0"/>
    </xf>
    <xf numFmtId="2" fontId="13" fillId="0" borderId="2" xfId="0" applyNumberFormat="1" applyFont="1" applyBorder="1" applyAlignment="1">
      <alignment horizontal="center" wrapText="1"/>
    </xf>
    <xf numFmtId="0" fontId="13" fillId="0" borderId="2" xfId="0" applyFont="1" applyBorder="1" applyAlignment="1">
      <alignment horizontal="center" wrapText="1"/>
    </xf>
    <xf numFmtId="2" fontId="13" fillId="0" borderId="3" xfId="0" applyNumberFormat="1" applyFont="1" applyBorder="1" applyAlignment="1">
      <alignment horizontal="center" wrapText="1"/>
    </xf>
    <xf numFmtId="0" fontId="7" fillId="5" borderId="2" xfId="0" applyFont="1" applyFill="1" applyBorder="1" applyAlignment="1" applyProtection="1">
      <alignment horizontal="center" vertical="center" wrapText="1"/>
      <protection locked="0"/>
    </xf>
    <xf numFmtId="0" fontId="11" fillId="5" borderId="7" xfId="0" applyFont="1" applyFill="1" applyBorder="1" applyAlignment="1" applyProtection="1">
      <alignment vertical="center" wrapText="1"/>
      <protection locked="0"/>
    </xf>
    <xf numFmtId="0" fontId="10" fillId="4" borderId="2" xfId="0" applyFont="1" applyFill="1" applyBorder="1" applyAlignment="1" applyProtection="1">
      <alignment horizontal="center" wrapText="1"/>
      <protection locked="0"/>
    </xf>
    <xf numFmtId="0" fontId="10" fillId="0" borderId="2" xfId="0" applyFont="1" applyBorder="1" applyAlignment="1" applyProtection="1">
      <alignment wrapText="1"/>
      <protection locked="0"/>
    </xf>
    <xf numFmtId="12" fontId="10" fillId="4" borderId="2" xfId="1" applyNumberFormat="1" applyFont="1" applyFill="1" applyBorder="1" applyAlignment="1" applyProtection="1">
      <alignment horizontal="center" wrapText="1"/>
      <protection locked="0"/>
    </xf>
    <xf numFmtId="2" fontId="10" fillId="0" borderId="2" xfId="0" applyNumberFormat="1" applyFont="1" applyBorder="1" applyAlignment="1" applyProtection="1">
      <alignment horizontal="center" wrapText="1"/>
      <protection locked="0"/>
    </xf>
    <xf numFmtId="0" fontId="16" fillId="0" borderId="8" xfId="0" applyFont="1" applyBorder="1" applyAlignment="1" applyProtection="1">
      <alignment vertical="center" wrapText="1"/>
      <protection locked="0"/>
    </xf>
    <xf numFmtId="0" fontId="10" fillId="4" borderId="5" xfId="0" applyFont="1" applyFill="1" applyBorder="1" applyAlignment="1" applyProtection="1">
      <alignment horizontal="center" wrapText="1"/>
      <protection locked="0"/>
    </xf>
    <xf numFmtId="0" fontId="10" fillId="0" borderId="3" xfId="0" applyFont="1" applyBorder="1" applyAlignment="1" applyProtection="1">
      <alignment horizontal="center" wrapText="1"/>
      <protection locked="0"/>
    </xf>
    <xf numFmtId="0" fontId="10" fillId="4" borderId="12" xfId="0" applyFont="1" applyFill="1" applyBorder="1" applyAlignment="1" applyProtection="1">
      <alignment horizontal="center" wrapText="1"/>
      <protection locked="0"/>
    </xf>
    <xf numFmtId="0" fontId="10" fillId="4" borderId="7" xfId="0" applyFont="1" applyFill="1" applyBorder="1" applyAlignment="1" applyProtection="1">
      <alignment horizontal="center" wrapText="1"/>
      <protection locked="0"/>
    </xf>
    <xf numFmtId="0" fontId="10" fillId="0" borderId="7" xfId="0" applyFont="1" applyBorder="1" applyAlignment="1" applyProtection="1">
      <alignment horizontal="center" wrapText="1"/>
      <protection locked="0"/>
    </xf>
    <xf numFmtId="0" fontId="10" fillId="0" borderId="7" xfId="0" applyFont="1" applyBorder="1" applyAlignment="1" applyProtection="1">
      <alignment wrapText="1"/>
      <protection locked="0"/>
    </xf>
    <xf numFmtId="12" fontId="10" fillId="4" borderId="7" xfId="1" applyNumberFormat="1" applyFont="1" applyFill="1" applyBorder="1" applyAlignment="1" applyProtection="1">
      <alignment horizontal="center" wrapText="1"/>
      <protection locked="0"/>
    </xf>
    <xf numFmtId="2" fontId="10" fillId="0" borderId="7" xfId="0" applyNumberFormat="1" applyFont="1" applyBorder="1" applyAlignment="1" applyProtection="1">
      <alignment horizontal="center" wrapText="1"/>
      <protection locked="0"/>
    </xf>
    <xf numFmtId="0" fontId="16" fillId="0" borderId="14" xfId="0" applyFont="1" applyBorder="1" applyAlignment="1" applyProtection="1">
      <alignment vertical="center" wrapText="1"/>
      <protection locked="0"/>
    </xf>
    <xf numFmtId="0" fontId="10" fillId="0" borderId="13" xfId="0" applyFont="1" applyBorder="1" applyAlignment="1" applyProtection="1">
      <alignment horizontal="center" wrapText="1"/>
      <protection locked="0"/>
    </xf>
    <xf numFmtId="0" fontId="19" fillId="6" borderId="5" xfId="0" applyFont="1" applyFill="1" applyBorder="1" applyAlignment="1" applyProtection="1">
      <alignment horizontal="center" wrapText="1"/>
      <protection locked="0"/>
    </xf>
    <xf numFmtId="0" fontId="19" fillId="6" borderId="2" xfId="0" applyFont="1" applyFill="1" applyBorder="1" applyAlignment="1" applyProtection="1">
      <alignment horizontal="center" wrapText="1"/>
      <protection locked="0"/>
    </xf>
    <xf numFmtId="0" fontId="19" fillId="6" borderId="2" xfId="0" applyFont="1" applyFill="1" applyBorder="1" applyAlignment="1" applyProtection="1">
      <alignment wrapText="1"/>
      <protection locked="0"/>
    </xf>
    <xf numFmtId="12" fontId="19" fillId="6" borderId="2" xfId="1" applyNumberFormat="1" applyFont="1" applyFill="1" applyBorder="1" applyAlignment="1" applyProtection="1">
      <alignment horizontal="center" wrapText="1"/>
      <protection locked="0"/>
    </xf>
    <xf numFmtId="2" fontId="19" fillId="6" borderId="2" xfId="0" applyNumberFormat="1" applyFont="1" applyFill="1" applyBorder="1" applyAlignment="1" applyProtection="1">
      <alignment horizontal="center" wrapText="1"/>
      <protection locked="0"/>
    </xf>
    <xf numFmtId="0" fontId="20" fillId="6" borderId="8" xfId="0" applyFont="1" applyFill="1" applyBorder="1" applyAlignment="1" applyProtection="1">
      <alignment vertical="center" wrapText="1"/>
      <protection locked="0"/>
    </xf>
    <xf numFmtId="0" fontId="19" fillId="6" borderId="3" xfId="0" applyFont="1" applyFill="1" applyBorder="1" applyAlignment="1" applyProtection="1">
      <alignment horizontal="center" wrapText="1"/>
      <protection locked="0"/>
    </xf>
    <xf numFmtId="2" fontId="10" fillId="0" borderId="2" xfId="0" applyNumberFormat="1" applyFont="1" applyBorder="1" applyAlignment="1">
      <alignment horizontal="center" wrapText="1"/>
    </xf>
    <xf numFmtId="0" fontId="16" fillId="0" borderId="8" xfId="0" applyFont="1" applyBorder="1" applyAlignment="1">
      <alignment vertical="center" wrapText="1"/>
    </xf>
    <xf numFmtId="0" fontId="7" fillId="5" borderId="7" xfId="0" applyFont="1" applyFill="1" applyBorder="1" applyAlignment="1" applyProtection="1">
      <alignment horizontal="center" vertical="center" wrapText="1"/>
      <protection locked="0"/>
    </xf>
    <xf numFmtId="0" fontId="7" fillId="5" borderId="7" xfId="2" applyFont="1" applyFill="1" applyBorder="1" applyAlignment="1" applyProtection="1">
      <alignment horizontal="center" vertical="center" wrapText="1" shrinkToFit="1"/>
      <protection locked="0"/>
    </xf>
    <xf numFmtId="0" fontId="7" fillId="5" borderId="2" xfId="2" applyFont="1" applyFill="1" applyBorder="1" applyAlignment="1" applyProtection="1">
      <alignment horizontal="center" vertical="center" wrapText="1" shrinkToFit="1"/>
      <protection locked="0"/>
    </xf>
    <xf numFmtId="0" fontId="14" fillId="5" borderId="2" xfId="0" applyFont="1" applyFill="1" applyBorder="1" applyAlignment="1" applyProtection="1">
      <alignment vertical="center" wrapText="1"/>
      <protection locked="0"/>
    </xf>
    <xf numFmtId="0" fontId="5" fillId="0" borderId="2" xfId="2" applyFont="1" applyBorder="1" applyAlignment="1" applyProtection="1">
      <alignment horizontal="center" vertical="center"/>
      <protection locked="0"/>
    </xf>
    <xf numFmtId="0" fontId="5" fillId="0" borderId="3" xfId="2" applyFont="1" applyBorder="1" applyAlignment="1" applyProtection="1">
      <alignment horizontal="center" vertical="center"/>
      <protection locked="0"/>
    </xf>
    <xf numFmtId="0" fontId="0" fillId="0" borderId="1" xfId="0" applyBorder="1" applyProtection="1">
      <protection locked="0"/>
    </xf>
    <xf numFmtId="0" fontId="5" fillId="0" borderId="5" xfId="2" applyFont="1" applyBorder="1" applyAlignment="1" applyProtection="1">
      <alignment horizontal="center" vertical="center"/>
      <protection locked="0"/>
    </xf>
    <xf numFmtId="164" fontId="5" fillId="0" borderId="2" xfId="2" applyNumberFormat="1" applyFont="1" applyBorder="1" applyAlignment="1" applyProtection="1">
      <alignment horizontal="center" vertical="center"/>
      <protection locked="0"/>
    </xf>
    <xf numFmtId="164" fontId="10" fillId="0" borderId="2" xfId="2" applyNumberFormat="1" applyFont="1" applyBorder="1" applyAlignment="1" applyProtection="1">
      <alignment horizontal="center" vertical="center"/>
      <protection locked="0"/>
    </xf>
    <xf numFmtId="0" fontId="10" fillId="0" borderId="2" xfId="2" applyFont="1" applyBorder="1" applyAlignment="1" applyProtection="1">
      <alignment horizontal="center" vertical="center"/>
      <protection locked="0"/>
    </xf>
    <xf numFmtId="0" fontId="5" fillId="0" borderId="1" xfId="2" applyFont="1" applyBorder="1" applyAlignment="1" applyProtection="1">
      <alignment horizontal="center" vertical="center"/>
      <protection locked="0"/>
    </xf>
    <xf numFmtId="0" fontId="5" fillId="0" borderId="8" xfId="2" applyFont="1" applyBorder="1" applyAlignment="1" applyProtection="1">
      <alignment horizontal="center" vertical="center"/>
      <protection locked="0"/>
    </xf>
    <xf numFmtId="164" fontId="5" fillId="0" borderId="7" xfId="2" applyNumberFormat="1" applyFont="1" applyBorder="1" applyAlignment="1" applyProtection="1">
      <alignment horizontal="center" vertical="center"/>
      <protection locked="0"/>
    </xf>
    <xf numFmtId="164" fontId="5" fillId="0" borderId="8" xfId="2" applyNumberFormat="1" applyFont="1" applyBorder="1" applyAlignment="1" applyProtection="1">
      <alignment horizontal="center" vertical="center"/>
      <protection locked="0"/>
    </xf>
    <xf numFmtId="0" fontId="5" fillId="0" borderId="12" xfId="2" applyFont="1" applyBorder="1" applyAlignment="1" applyProtection="1">
      <alignment horizontal="center" vertical="center"/>
      <protection locked="0"/>
    </xf>
    <xf numFmtId="0" fontId="5" fillId="0" borderId="7" xfId="2" applyFont="1" applyBorder="1" applyAlignment="1" applyProtection="1">
      <alignment horizontal="center" vertical="center"/>
      <protection locked="0"/>
    </xf>
    <xf numFmtId="0" fontId="10" fillId="0" borderId="7" xfId="2" applyFont="1" applyBorder="1" applyAlignment="1" applyProtection="1">
      <alignment horizontal="center" vertical="center"/>
      <protection locked="0"/>
    </xf>
    <xf numFmtId="164" fontId="10" fillId="0" borderId="7" xfId="2" applyNumberFormat="1" applyFont="1" applyBorder="1" applyAlignment="1" applyProtection="1">
      <alignment horizontal="center" vertical="center"/>
      <protection locked="0"/>
    </xf>
    <xf numFmtId="0" fontId="21" fillId="6" borderId="5" xfId="2" applyFont="1" applyFill="1" applyBorder="1" applyAlignment="1" applyProtection="1">
      <alignment horizontal="center" vertical="center"/>
      <protection locked="0"/>
    </xf>
    <xf numFmtId="0" fontId="21" fillId="6" borderId="2" xfId="2" applyFont="1" applyFill="1" applyBorder="1" applyAlignment="1" applyProtection="1">
      <alignment horizontal="center" vertical="center"/>
      <protection locked="0"/>
    </xf>
    <xf numFmtId="0" fontId="21" fillId="6" borderId="3" xfId="2" applyFont="1" applyFill="1" applyBorder="1" applyAlignment="1" applyProtection="1">
      <alignment horizontal="center" vertical="center"/>
      <protection locked="0"/>
    </xf>
    <xf numFmtId="0" fontId="22" fillId="6" borderId="1" xfId="0" applyFont="1" applyFill="1" applyBorder="1" applyProtection="1">
      <protection locked="0"/>
    </xf>
    <xf numFmtId="164" fontId="21" fillId="6" borderId="2" xfId="2" applyNumberFormat="1" applyFont="1" applyFill="1" applyBorder="1" applyAlignment="1" applyProtection="1">
      <alignment horizontal="center" vertical="center"/>
      <protection locked="0"/>
    </xf>
    <xf numFmtId="0" fontId="23" fillId="6" borderId="2" xfId="0" applyFont="1" applyFill="1" applyBorder="1" applyAlignment="1" applyProtection="1">
      <alignment vertical="center" wrapText="1"/>
      <protection locked="0"/>
    </xf>
    <xf numFmtId="0" fontId="18" fillId="6" borderId="2" xfId="0" applyFont="1" applyFill="1" applyBorder="1" applyAlignment="1" applyProtection="1">
      <alignment vertical="center" wrapText="1"/>
      <protection locked="0"/>
    </xf>
    <xf numFmtId="164" fontId="19" fillId="6" borderId="2" xfId="2" applyNumberFormat="1" applyFont="1" applyFill="1" applyBorder="1" applyAlignment="1" applyProtection="1">
      <alignment horizontal="center" vertical="center"/>
      <protection locked="0"/>
    </xf>
    <xf numFmtId="0" fontId="19" fillId="6" borderId="3" xfId="2" applyFont="1" applyFill="1" applyBorder="1" applyAlignment="1" applyProtection="1">
      <alignment horizontal="center" vertical="center"/>
      <protection locked="0"/>
    </xf>
    <xf numFmtId="164" fontId="5" fillId="0" borderId="2" xfId="2" applyNumberFormat="1" applyFont="1" applyBorder="1" applyAlignment="1">
      <alignment horizontal="center" vertical="center"/>
    </xf>
    <xf numFmtId="0" fontId="13" fillId="0" borderId="2" xfId="0" applyFont="1" applyBorder="1" applyAlignment="1">
      <alignment vertical="center" wrapText="1"/>
    </xf>
    <xf numFmtId="0" fontId="10" fillId="0" borderId="3" xfId="2" applyFont="1" applyBorder="1" applyAlignment="1">
      <alignment horizontal="center" vertical="center"/>
    </xf>
    <xf numFmtId="0" fontId="13" fillId="0" borderId="2" xfId="0" applyFont="1" applyBorder="1" applyAlignment="1" applyProtection="1">
      <alignment horizontal="center" vertical="center" wrapText="1"/>
      <protection locked="0"/>
    </xf>
    <xf numFmtId="2" fontId="13" fillId="0" borderId="2" xfId="0" applyNumberFormat="1" applyFont="1" applyBorder="1" applyAlignment="1" applyProtection="1">
      <alignment horizontal="center" vertical="center" wrapText="1"/>
      <protection locked="0"/>
    </xf>
    <xf numFmtId="0" fontId="13" fillId="0" borderId="5" xfId="0" applyFont="1" applyBorder="1" applyAlignment="1" applyProtection="1">
      <alignment horizontal="center" vertical="center" wrapText="1"/>
      <protection locked="0"/>
    </xf>
    <xf numFmtId="0" fontId="13" fillId="0" borderId="12" xfId="0" applyFont="1" applyBorder="1" applyAlignment="1" applyProtection="1">
      <alignment horizontal="center" vertical="center" wrapText="1"/>
      <protection locked="0"/>
    </xf>
    <xf numFmtId="0" fontId="13" fillId="0" borderId="7" xfId="0" applyFont="1" applyBorder="1" applyAlignment="1" applyProtection="1">
      <alignment horizontal="center" vertical="center" wrapText="1"/>
      <protection locked="0"/>
    </xf>
    <xf numFmtId="2" fontId="13" fillId="0" borderId="7" xfId="0" applyNumberFormat="1" applyFont="1" applyBorder="1" applyAlignment="1" applyProtection="1">
      <alignment horizontal="center" vertical="center" wrapText="1"/>
      <protection locked="0"/>
    </xf>
    <xf numFmtId="0" fontId="18" fillId="6" borderId="10" xfId="0" applyFont="1" applyFill="1" applyBorder="1" applyAlignment="1" applyProtection="1">
      <alignment horizontal="center" vertical="center" wrapText="1"/>
      <protection locked="0"/>
    </xf>
    <xf numFmtId="0" fontId="18" fillId="6" borderId="8" xfId="0" applyFont="1" applyFill="1" applyBorder="1" applyAlignment="1" applyProtection="1">
      <alignment horizontal="center" vertical="center" wrapText="1"/>
      <protection locked="0"/>
    </xf>
    <xf numFmtId="2" fontId="18" fillId="6" borderId="8" xfId="0" applyNumberFormat="1" applyFont="1" applyFill="1" applyBorder="1" applyAlignment="1" applyProtection="1">
      <alignment horizontal="center" vertical="center" wrapText="1"/>
      <protection locked="0"/>
    </xf>
    <xf numFmtId="2" fontId="18" fillId="6" borderId="11" xfId="0" applyNumberFormat="1" applyFont="1" applyFill="1" applyBorder="1" applyAlignment="1" applyProtection="1">
      <alignment horizontal="center" vertical="center" wrapText="1"/>
      <protection locked="0"/>
    </xf>
    <xf numFmtId="2" fontId="13" fillId="0" borderId="2" xfId="0" applyNumberFormat="1" applyFont="1" applyBorder="1" applyAlignment="1">
      <alignment horizontal="center" vertical="center" wrapText="1"/>
    </xf>
    <xf numFmtId="0" fontId="13" fillId="0" borderId="2" xfId="0" applyFont="1" applyBorder="1" applyAlignment="1">
      <alignment horizontal="center" vertical="center" wrapText="1"/>
    </xf>
    <xf numFmtId="2" fontId="13" fillId="0" borderId="3" xfId="0" applyNumberFormat="1" applyFont="1" applyBorder="1" applyAlignment="1">
      <alignment horizontal="center" vertical="center" wrapText="1"/>
    </xf>
    <xf numFmtId="2" fontId="13" fillId="0" borderId="3" xfId="0" applyNumberFormat="1" applyFont="1" applyBorder="1" applyAlignment="1" applyProtection="1">
      <alignment horizontal="center" wrapText="1"/>
      <protection locked="0"/>
    </xf>
    <xf numFmtId="0" fontId="13" fillId="0" borderId="2" xfId="0" applyFont="1" applyBorder="1" applyAlignment="1" applyProtection="1">
      <alignment horizontal="center" wrapText="1"/>
      <protection locked="0"/>
    </xf>
    <xf numFmtId="0" fontId="14" fillId="5" borderId="2" xfId="0" applyFont="1" applyFill="1" applyBorder="1" applyAlignment="1" applyProtection="1">
      <alignment horizontal="center" vertical="center" wrapText="1"/>
      <protection locked="0"/>
    </xf>
    <xf numFmtId="0" fontId="14" fillId="5" borderId="7" xfId="0" applyFont="1" applyFill="1" applyBorder="1" applyAlignment="1" applyProtection="1">
      <alignment horizontal="center" vertical="center" wrapText="1"/>
      <protection locked="0"/>
    </xf>
    <xf numFmtId="0" fontId="14" fillId="5" borderId="8" xfId="0" applyFont="1" applyFill="1" applyBorder="1" applyAlignment="1" applyProtection="1">
      <alignment horizontal="center" vertical="center" wrapText="1"/>
      <protection locked="0"/>
    </xf>
    <xf numFmtId="0" fontId="0" fillId="0" borderId="0" xfId="0" applyAlignment="1" applyProtection="1">
      <alignment horizontal="left" vertical="top" wrapText="1"/>
      <protection locked="0"/>
    </xf>
    <xf numFmtId="0" fontId="15" fillId="0" borderId="0" xfId="0" applyFont="1" applyAlignment="1" applyProtection="1">
      <alignment horizontal="left" vertical="top" wrapText="1"/>
      <protection locked="0"/>
    </xf>
    <xf numFmtId="0" fontId="8" fillId="5" borderId="13" xfId="0" applyFont="1" applyFill="1" applyBorder="1" applyAlignment="1" applyProtection="1">
      <alignment horizontal="center" vertical="center" wrapText="1"/>
      <protection locked="0"/>
    </xf>
    <xf numFmtId="0" fontId="8" fillId="5" borderId="6" xfId="0" applyFont="1" applyFill="1" applyBorder="1" applyAlignment="1" applyProtection="1">
      <alignment horizontal="center" vertical="center" wrapText="1"/>
      <protection locked="0"/>
    </xf>
    <xf numFmtId="0" fontId="8" fillId="5" borderId="12" xfId="0" applyFont="1" applyFill="1" applyBorder="1" applyAlignment="1" applyProtection="1">
      <alignment horizontal="center" vertical="center" wrapText="1"/>
      <protection locked="0"/>
    </xf>
    <xf numFmtId="0" fontId="8" fillId="5" borderId="11" xfId="0" applyFont="1" applyFill="1" applyBorder="1" applyAlignment="1" applyProtection="1">
      <alignment horizontal="center" vertical="center" wrapText="1"/>
      <protection locked="0"/>
    </xf>
    <xf numFmtId="0" fontId="8" fillId="5" borderId="9" xfId="0" applyFont="1" applyFill="1" applyBorder="1" applyAlignment="1" applyProtection="1">
      <alignment horizontal="center" vertical="center" wrapText="1"/>
      <protection locked="0"/>
    </xf>
    <xf numFmtId="0" fontId="8" fillId="5" borderId="10" xfId="0" applyFont="1" applyFill="1" applyBorder="1" applyAlignment="1" applyProtection="1">
      <alignment horizontal="center" vertical="center" wrapText="1"/>
      <protection locked="0"/>
    </xf>
    <xf numFmtId="0" fontId="2" fillId="0" borderId="2" xfId="0" applyFont="1" applyBorder="1" applyAlignment="1" applyProtection="1">
      <alignment horizontal="center"/>
      <protection locked="0"/>
    </xf>
    <xf numFmtId="0" fontId="2" fillId="0" borderId="2" xfId="0" applyFont="1" applyBorder="1" applyAlignment="1" applyProtection="1">
      <alignment horizontal="center" wrapText="1"/>
      <protection locked="0"/>
    </xf>
    <xf numFmtId="0" fontId="3" fillId="2" borderId="9" xfId="0" applyFont="1" applyFill="1" applyBorder="1" applyAlignment="1" applyProtection="1">
      <alignment horizontal="center" vertical="center" wrapText="1"/>
      <protection locked="0"/>
    </xf>
    <xf numFmtId="0" fontId="3" fillId="2" borderId="4" xfId="0" applyFont="1" applyFill="1" applyBorder="1" applyAlignment="1" applyProtection="1">
      <alignment horizontal="center" vertical="center" wrapText="1"/>
      <protection locked="0"/>
    </xf>
    <xf numFmtId="0" fontId="15" fillId="0" borderId="0" xfId="0" applyFont="1" applyAlignment="1" applyProtection="1">
      <alignment horizontal="left" wrapText="1"/>
      <protection locked="0"/>
    </xf>
    <xf numFmtId="0" fontId="15" fillId="0" borderId="0" xfId="0" applyFont="1" applyAlignment="1" applyProtection="1">
      <alignment horizontal="left"/>
      <protection locked="0"/>
    </xf>
    <xf numFmtId="0" fontId="0" fillId="0" borderId="0" xfId="0" applyAlignment="1" applyProtection="1">
      <alignment horizontal="left" wrapText="1"/>
      <protection locked="0"/>
    </xf>
    <xf numFmtId="0" fontId="10" fillId="0" borderId="2" xfId="0" applyFont="1" applyBorder="1" applyAlignment="1" applyProtection="1">
      <alignment horizontal="center" wrapText="1"/>
      <protection locked="0"/>
    </xf>
    <xf numFmtId="0" fontId="11" fillId="5" borderId="2" xfId="0" applyFont="1" applyFill="1" applyBorder="1" applyAlignment="1" applyProtection="1">
      <alignment horizontal="center" vertical="center" wrapText="1"/>
      <protection locked="0"/>
    </xf>
    <xf numFmtId="0" fontId="12" fillId="5" borderId="2" xfId="0" applyFont="1" applyFill="1" applyBorder="1" applyAlignment="1" applyProtection="1">
      <alignment horizontal="center" vertical="center" wrapText="1"/>
      <protection locked="0"/>
    </xf>
    <xf numFmtId="0" fontId="15" fillId="0" borderId="6" xfId="0" applyFont="1" applyBorder="1" applyAlignment="1" applyProtection="1">
      <alignment horizontal="left" vertical="top" wrapText="1"/>
      <protection locked="0"/>
    </xf>
    <xf numFmtId="0" fontId="0" fillId="0" borderId="0" xfId="0" applyAlignment="1" applyProtection="1">
      <alignment horizontal="left" vertical="top"/>
      <protection locked="0"/>
    </xf>
    <xf numFmtId="0" fontId="11" fillId="5" borderId="7" xfId="0" applyFont="1" applyFill="1" applyBorder="1" applyAlignment="1" applyProtection="1">
      <alignment horizontal="center" vertical="center" wrapText="1"/>
      <protection locked="0"/>
    </xf>
    <xf numFmtId="0" fontId="11" fillId="5" borderId="8" xfId="0" applyFont="1" applyFill="1" applyBorder="1" applyAlignment="1" applyProtection="1">
      <alignment horizontal="center" vertical="center" wrapText="1"/>
      <protection locked="0"/>
    </xf>
    <xf numFmtId="0" fontId="4" fillId="3" borderId="2" xfId="0" applyFont="1" applyFill="1" applyBorder="1" applyAlignment="1" applyProtection="1">
      <alignment horizontal="center"/>
      <protection locked="0"/>
    </xf>
    <xf numFmtId="0" fontId="7" fillId="5" borderId="2" xfId="0" applyFont="1" applyFill="1" applyBorder="1" applyAlignment="1" applyProtection="1">
      <alignment horizontal="center" vertical="center" wrapText="1"/>
      <protection locked="0"/>
    </xf>
    <xf numFmtId="0" fontId="5" fillId="3" borderId="2" xfId="2" applyFont="1" applyFill="1" applyBorder="1" applyAlignment="1" applyProtection="1">
      <alignment horizontal="center" vertical="center"/>
      <protection locked="0"/>
    </xf>
    <xf numFmtId="0" fontId="9" fillId="5" borderId="2" xfId="2" applyFont="1" applyFill="1" applyBorder="1" applyAlignment="1" applyProtection="1">
      <alignment horizontal="center" vertical="center" wrapText="1"/>
      <protection locked="0"/>
    </xf>
    <xf numFmtId="0" fontId="9" fillId="5" borderId="2" xfId="2" applyFont="1" applyFill="1" applyBorder="1" applyAlignment="1" applyProtection="1">
      <alignment horizontal="center" vertical="center"/>
      <protection locked="0"/>
    </xf>
    <xf numFmtId="0" fontId="15" fillId="0" borderId="6" xfId="0" applyFont="1" applyBorder="1" applyAlignment="1" applyProtection="1">
      <alignment horizontal="left" vertical="top"/>
      <protection locked="0"/>
    </xf>
    <xf numFmtId="0" fontId="15" fillId="0" borderId="0" xfId="0" applyFont="1" applyAlignment="1" applyProtection="1">
      <alignment horizontal="left" vertical="top"/>
      <protection locked="0"/>
    </xf>
  </cellXfs>
  <cellStyles count="3">
    <cellStyle name="Normal" xfId="0" builtinId="0"/>
    <cellStyle name="Normal 2" xfId="2" xr:uid="{00000000-0005-0000-0000-000002000000}"/>
    <cellStyle name="Porcentaje" xfId="1" builtinId="5"/>
  </cellStyles>
  <dxfs count="143">
    <dxf>
      <font>
        <b val="0"/>
        <i val="0"/>
        <strike val="0"/>
        <condense val="0"/>
        <extend val="0"/>
        <outline val="0"/>
        <shadow val="0"/>
        <u val="none"/>
        <vertAlign val="baseline"/>
        <sz val="9"/>
        <color theme="1"/>
        <name val="Montserrat"/>
        <scheme val="none"/>
      </font>
      <numFmt numFmtId="2" formatCode="0.00"/>
      <alignment horizontal="center" vertical="center" textRotation="0" wrapText="1" indent="0" justifyLastLine="0" shrinkToFit="0" readingOrder="0"/>
      <border diagonalUp="0" diagonalDown="0">
        <left style="thin">
          <color theme="1"/>
        </left>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numFmt numFmtId="2" formatCode="0.00"/>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numFmt numFmtId="2" formatCode="0.00"/>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right style="thin">
          <color theme="1"/>
        </right>
        <top style="thin">
          <color theme="1"/>
        </top>
        <bottom style="thin">
          <color theme="1"/>
        </bottom>
        <vertical/>
        <horizontal/>
      </border>
      <protection locked="0" hidden="0"/>
    </dxf>
    <dxf>
      <border outline="0">
        <top style="thin">
          <color theme="1"/>
        </top>
      </border>
    </dxf>
    <dxf>
      <border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protection locked="0" hidden="0"/>
    </dxf>
    <dxf>
      <border outline="0">
        <bottom style="thin">
          <color theme="1"/>
        </bottom>
      </border>
    </dxf>
    <dxf>
      <font>
        <b val="0"/>
        <i val="0"/>
        <strike val="0"/>
        <condense val="0"/>
        <extend val="0"/>
        <outline val="0"/>
        <shadow val="0"/>
        <u val="none"/>
        <vertAlign val="baseline"/>
        <sz val="9"/>
        <color theme="0" tint="-4.9989318521683403E-2"/>
        <name val="Montserrat"/>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theme="1"/>
        </left>
        <right style="thin">
          <color theme="1"/>
        </right>
        <top/>
        <bottom/>
      </border>
      <protection locked="0" hidden="0"/>
    </dxf>
    <dxf>
      <font>
        <b val="0"/>
        <i val="0"/>
        <strike val="0"/>
        <condense val="0"/>
        <extend val="0"/>
        <outline val="0"/>
        <shadow val="0"/>
        <u val="none"/>
        <vertAlign val="baseline"/>
        <sz val="9"/>
        <color theme="1"/>
        <name val="Montserrat"/>
        <scheme val="none"/>
      </font>
      <numFmt numFmtId="2" formatCode="0.00"/>
      <alignment horizontal="center" vertical="center" textRotation="0" wrapText="1" indent="0" justifyLastLine="0" shrinkToFit="0" readingOrder="0"/>
      <border diagonalUp="0" diagonalDown="0">
        <left style="thin">
          <color theme="1"/>
        </left>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numFmt numFmtId="2" formatCode="0.00"/>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numFmt numFmtId="2" formatCode="0.00"/>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right style="thin">
          <color theme="1"/>
        </right>
        <top style="thin">
          <color theme="1"/>
        </top>
        <bottom style="thin">
          <color theme="1"/>
        </bottom>
        <vertical/>
        <horizontal/>
      </border>
      <protection locked="0" hidden="0"/>
    </dxf>
    <dxf>
      <border outline="0">
        <top style="thin">
          <color theme="1"/>
        </top>
      </border>
    </dxf>
    <dxf>
      <border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protection locked="0" hidden="0"/>
    </dxf>
    <dxf>
      <border outline="0">
        <bottom style="thin">
          <color theme="1"/>
        </bottom>
      </border>
    </dxf>
    <dxf>
      <font>
        <b val="0"/>
        <i val="0"/>
        <strike val="0"/>
        <condense val="0"/>
        <extend val="0"/>
        <outline val="0"/>
        <shadow val="0"/>
        <u val="none"/>
        <vertAlign val="baseline"/>
        <sz val="9"/>
        <color theme="0" tint="-4.9989318521683403E-2"/>
        <name val="Montserrat"/>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theme="1"/>
        </left>
        <right style="thin">
          <color theme="1"/>
        </right>
        <top/>
        <bottom/>
      </border>
      <protection locked="0" hidden="0"/>
    </dxf>
    <dxf>
      <font>
        <b val="0"/>
        <i val="0"/>
        <strike val="0"/>
        <condense val="0"/>
        <extend val="0"/>
        <outline val="0"/>
        <shadow val="0"/>
        <u val="none"/>
        <vertAlign val="baseline"/>
        <sz val="9"/>
        <color theme="1"/>
        <name val="Montserrat"/>
        <scheme val="none"/>
      </font>
      <numFmt numFmtId="2" formatCode="0.00"/>
      <alignment horizontal="center" vertical="center" textRotation="0" wrapText="1" indent="0" justifyLastLine="0" shrinkToFit="0" readingOrder="0"/>
      <border diagonalUp="0" diagonalDown="0">
        <left style="thin">
          <color theme="1"/>
        </left>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numFmt numFmtId="2" formatCode="0.00"/>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numFmt numFmtId="2" formatCode="0.00"/>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right style="thin">
          <color theme="1"/>
        </right>
        <top style="thin">
          <color theme="1"/>
        </top>
        <bottom style="thin">
          <color theme="1"/>
        </bottom>
        <vertical/>
        <horizontal/>
      </border>
      <protection locked="0" hidden="0"/>
    </dxf>
    <dxf>
      <border outline="0">
        <top style="thin">
          <color theme="1"/>
        </top>
      </border>
    </dxf>
    <dxf>
      <border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protection locked="0" hidden="0"/>
    </dxf>
    <dxf>
      <border outline="0">
        <bottom style="thin">
          <color theme="1"/>
        </bottom>
      </border>
    </dxf>
    <dxf>
      <font>
        <b val="0"/>
        <i val="0"/>
        <strike val="0"/>
        <condense val="0"/>
        <extend val="0"/>
        <outline val="0"/>
        <shadow val="0"/>
        <u val="none"/>
        <vertAlign val="baseline"/>
        <sz val="9"/>
        <color theme="0" tint="-4.9989318521683403E-2"/>
        <name val="Montserrat"/>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theme="1"/>
        </left>
        <right style="thin">
          <color theme="1"/>
        </right>
        <top/>
        <bottom/>
      </border>
      <protection locked="0" hidden="0"/>
    </dxf>
    <dxf>
      <font>
        <b val="0"/>
        <i val="0"/>
        <strike val="0"/>
        <condense val="0"/>
        <extend val="0"/>
        <outline val="0"/>
        <shadow val="0"/>
        <u val="none"/>
        <vertAlign val="baseline"/>
        <sz val="10"/>
        <color theme="1"/>
        <name val="Montserrat"/>
        <scheme val="none"/>
      </font>
      <alignment horizontal="center" vertical="center" textRotation="0" wrapText="0" indent="0" justifyLastLine="0" shrinkToFit="0" readingOrder="0"/>
      <border diagonalUp="0" diagonalDown="0">
        <left style="thin">
          <color theme="1"/>
        </left>
        <right/>
        <top style="thin">
          <color theme="1"/>
        </top>
        <bottom style="thin">
          <color theme="1"/>
        </bottom>
        <vertical/>
        <horizontal/>
      </border>
      <protection locked="0" hidden="0"/>
    </dxf>
    <dxf>
      <font>
        <b val="0"/>
        <i val="0"/>
        <strike val="0"/>
        <condense val="0"/>
        <extend val="0"/>
        <outline val="0"/>
        <shadow val="0"/>
        <u val="none"/>
        <vertAlign val="baseline"/>
        <sz val="10"/>
        <color theme="1"/>
        <name val="Montserrat"/>
        <scheme val="none"/>
      </font>
      <numFmt numFmtId="164"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general"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0"/>
        <color theme="1"/>
        <name val="Montserrat"/>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0"/>
        <color auto="1"/>
        <name val="Montserrat"/>
        <family val="3"/>
        <scheme val="none"/>
      </font>
      <numFmt numFmtId="164"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0"/>
        <color auto="1"/>
        <name val="Montserrat"/>
        <family val="3"/>
        <scheme val="none"/>
      </font>
      <numFmt numFmtId="164"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0"/>
        <color auto="1"/>
        <name val="Montserrat"/>
        <family val="3"/>
        <scheme val="none"/>
      </font>
      <numFmt numFmtId="164"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0"/>
        <color auto="1"/>
        <name val="Montserrat"/>
        <family val="3"/>
        <scheme val="none"/>
      </font>
      <numFmt numFmtId="164" formatCode="0.0"/>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0"/>
        <color auto="1"/>
        <name val="Montserrat"/>
        <family val="3"/>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0"/>
        <color auto="1"/>
        <name val="Montserrat"/>
        <family val="3"/>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0"/>
        <color auto="1"/>
        <name val="Montserrat"/>
        <family val="3"/>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0"/>
        <color auto="1"/>
        <name val="Montserrat"/>
        <family val="3"/>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0"/>
        <color auto="1"/>
        <name val="Montserrat"/>
        <family val="3"/>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0"/>
        <color auto="1"/>
        <name val="Montserrat"/>
        <family val="3"/>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0"/>
        <color auto="1"/>
        <name val="Montserrat"/>
        <family val="3"/>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0"/>
        <color auto="1"/>
        <name val="Montserrat"/>
        <family val="3"/>
        <scheme val="none"/>
      </font>
      <alignment horizontal="center" vertical="center" textRotation="0" wrapText="0" indent="0" justifyLastLine="0" shrinkToFit="0" readingOrder="0"/>
      <border diagonalUp="0" diagonalDown="0">
        <left/>
        <right style="thin">
          <color theme="1"/>
        </right>
        <top style="thin">
          <color theme="1"/>
        </top>
        <bottom style="thin">
          <color theme="1"/>
        </bottom>
        <vertical/>
        <horizontal/>
      </border>
      <protection locked="0" hidden="0"/>
    </dxf>
    <dxf>
      <border outline="0">
        <left style="thin">
          <color theme="1"/>
        </left>
        <right style="thin">
          <color theme="1"/>
        </right>
        <bottom style="thin">
          <color theme="1"/>
        </bottom>
      </border>
    </dxf>
    <dxf>
      <font>
        <strike val="0"/>
        <outline val="0"/>
        <shadow val="0"/>
        <u val="none"/>
        <vertAlign val="baseline"/>
        <color theme="0" tint="-4.9989318521683403E-2"/>
      </font>
      <fill>
        <patternFill patternType="solid">
          <fgColor indexed="64"/>
          <bgColor theme="0" tint="-4.9989318521683403E-2"/>
        </patternFill>
      </fill>
    </dxf>
    <dxf>
      <font>
        <b val="0"/>
        <i val="0"/>
        <strike val="0"/>
        <condense val="0"/>
        <extend val="0"/>
        <outline val="0"/>
        <shadow val="0"/>
        <u val="none"/>
        <vertAlign val="baseline"/>
        <sz val="10"/>
        <color theme="1"/>
        <name val="Montserrat"/>
        <scheme val="none"/>
      </font>
      <alignment horizontal="center" vertical="bottom" textRotation="0" wrapText="1" indent="0" justifyLastLine="0" shrinkToFit="0" readingOrder="0"/>
      <border diagonalUp="0" diagonalDown="0">
        <left style="thin">
          <color theme="1"/>
        </left>
        <right/>
        <top style="thin">
          <color theme="1"/>
        </top>
        <bottom style="thin">
          <color theme="1"/>
        </bottom>
        <vertical/>
        <horizontal/>
      </border>
      <protection locked="0" hidden="0"/>
    </dxf>
    <dxf>
      <font>
        <b/>
        <i val="0"/>
        <strike val="0"/>
        <condense val="0"/>
        <extend val="0"/>
        <outline val="0"/>
        <shadow val="0"/>
        <u val="none"/>
        <vertAlign val="baseline"/>
        <sz val="10"/>
        <color theme="1"/>
        <name val="Montserrat"/>
        <scheme val="none"/>
      </font>
      <alignment horizontal="general" vertical="center" textRotation="0" wrapText="1" indent="0" justifyLastLine="0" shrinkToFit="0" readingOrder="0"/>
      <border diagonalUp="0" diagonalDown="0">
        <left style="thin">
          <color theme="1"/>
        </left>
        <right style="thin">
          <color theme="1"/>
        </right>
        <top/>
        <bottom style="thin">
          <color theme="1"/>
        </bottom>
        <vertical/>
        <horizontal/>
      </border>
      <protection locked="0" hidden="0"/>
    </dxf>
    <dxf>
      <font>
        <b/>
        <i val="0"/>
        <strike val="0"/>
        <condense val="0"/>
        <extend val="0"/>
        <outline val="0"/>
        <shadow val="0"/>
        <u val="none"/>
        <vertAlign val="baseline"/>
        <sz val="10"/>
        <color theme="1"/>
        <name val="Montserrat"/>
        <scheme val="none"/>
      </font>
      <alignment horizontal="general" vertical="center" textRotation="0" wrapText="1" indent="0" justifyLastLine="0" shrinkToFit="0" readingOrder="0"/>
      <border diagonalUp="0" diagonalDown="0">
        <left style="thin">
          <color theme="1"/>
        </left>
        <right style="thin">
          <color theme="1"/>
        </right>
        <top/>
        <bottom style="thin">
          <color theme="1"/>
        </bottom>
        <vertical/>
        <horizontal/>
      </border>
      <protection locked="0" hidden="0"/>
    </dxf>
    <dxf>
      <font>
        <b/>
        <i val="0"/>
        <strike val="0"/>
        <condense val="0"/>
        <extend val="0"/>
        <outline val="0"/>
        <shadow val="0"/>
        <u val="none"/>
        <vertAlign val="baseline"/>
        <sz val="10"/>
        <color theme="1"/>
        <name val="Montserrat"/>
        <scheme val="none"/>
      </font>
      <alignment horizontal="general" vertical="center" textRotation="0" wrapText="1" indent="0" justifyLastLine="0" shrinkToFit="0" readingOrder="0"/>
      <border diagonalUp="0" diagonalDown="0">
        <left style="thin">
          <color theme="1"/>
        </left>
        <right style="thin">
          <color theme="1"/>
        </right>
        <top/>
        <bottom style="thin">
          <color theme="1"/>
        </bottom>
        <vertical/>
        <horizontal/>
      </border>
      <protection locked="0" hidden="0"/>
    </dxf>
    <dxf>
      <font>
        <b/>
        <i val="0"/>
        <strike val="0"/>
        <condense val="0"/>
        <extend val="0"/>
        <outline val="0"/>
        <shadow val="0"/>
        <u val="none"/>
        <vertAlign val="baseline"/>
        <sz val="10"/>
        <color theme="1"/>
        <name val="Montserrat"/>
        <scheme val="none"/>
      </font>
      <alignment horizontal="general" vertical="center" textRotation="0" wrapText="1" indent="0" justifyLastLine="0" shrinkToFit="0" readingOrder="0"/>
      <border diagonalUp="0" diagonalDown="0">
        <left style="thin">
          <color theme="1"/>
        </left>
        <right style="thin">
          <color theme="1"/>
        </right>
        <top/>
        <bottom style="thin">
          <color theme="1"/>
        </bottom>
        <vertical/>
        <horizontal/>
      </border>
      <protection locked="0" hidden="0"/>
    </dxf>
    <dxf>
      <font>
        <b/>
        <i val="0"/>
        <strike val="0"/>
        <condense val="0"/>
        <extend val="0"/>
        <outline val="0"/>
        <shadow val="0"/>
        <u val="none"/>
        <vertAlign val="baseline"/>
        <sz val="10"/>
        <color theme="1"/>
        <name val="Montserrat"/>
        <scheme val="none"/>
      </font>
      <alignment horizontal="general" vertical="center" textRotation="0" wrapText="1" indent="0" justifyLastLine="0" shrinkToFit="0" readingOrder="0"/>
      <border diagonalUp="0" diagonalDown="0">
        <left style="thin">
          <color theme="1"/>
        </left>
        <right style="thin">
          <color theme="1"/>
        </right>
        <top/>
        <bottom style="thin">
          <color theme="1"/>
        </bottom>
        <vertical/>
        <horizontal/>
      </border>
      <protection locked="0" hidden="0"/>
    </dxf>
    <dxf>
      <font>
        <b val="0"/>
        <i val="0"/>
        <strike val="0"/>
        <condense val="0"/>
        <extend val="0"/>
        <outline val="0"/>
        <shadow val="0"/>
        <u val="none"/>
        <vertAlign val="baseline"/>
        <sz val="10"/>
        <color theme="1"/>
        <name val="Montserrat"/>
        <scheme val="none"/>
      </font>
      <alignment horizontal="center" vertical="bottom"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0"/>
        <color theme="1"/>
        <name val="Montserrat"/>
        <scheme val="none"/>
      </font>
      <numFmt numFmtId="2" formatCode="0.00"/>
      <alignment horizontal="center" vertical="bottom"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0"/>
        <color theme="1"/>
        <name val="Montserrat"/>
        <scheme val="none"/>
      </font>
      <numFmt numFmtId="2" formatCode="0.00"/>
      <alignment horizontal="center" vertical="bottom"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0"/>
        <color theme="1"/>
        <name val="Montserrat"/>
        <scheme val="none"/>
      </font>
      <numFmt numFmtId="17" formatCode="#\ ?/?"/>
      <fill>
        <patternFill patternType="solid">
          <fgColor indexed="64"/>
          <bgColor indexed="9"/>
        </patternFill>
      </fill>
      <alignment horizontal="center" vertical="bottom"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0"/>
        <color theme="1"/>
        <name val="Montserrat"/>
        <scheme val="none"/>
      </font>
      <alignment horizontal="general" vertical="bottom"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0"/>
        <color theme="1"/>
        <name val="Montserrat"/>
        <scheme val="none"/>
      </font>
      <alignment horizontal="general" vertical="bottom"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0"/>
        <color theme="1"/>
        <name val="Montserrat"/>
        <scheme val="none"/>
      </font>
      <alignment horizontal="center" vertical="bottom"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0"/>
        <color theme="1"/>
        <name val="Montserrat"/>
        <scheme val="none"/>
      </font>
      <fill>
        <patternFill patternType="solid">
          <fgColor indexed="64"/>
          <bgColor indexed="9"/>
        </patternFill>
      </fill>
      <alignment horizontal="center" vertical="bottom"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0"/>
        <color theme="1"/>
        <name val="Montserrat"/>
        <scheme val="none"/>
      </font>
      <fill>
        <patternFill patternType="solid">
          <fgColor indexed="64"/>
          <bgColor indexed="9"/>
        </patternFill>
      </fill>
      <alignment horizontal="center" vertical="bottom"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10"/>
        <color theme="1"/>
        <name val="Montserrat"/>
        <scheme val="none"/>
      </font>
      <fill>
        <patternFill patternType="solid">
          <fgColor indexed="64"/>
          <bgColor indexed="9"/>
        </patternFill>
      </fill>
      <alignment horizontal="center" vertical="bottom" textRotation="0" wrapText="1" indent="0" justifyLastLine="0" shrinkToFit="0" readingOrder="0"/>
      <border diagonalUp="0" diagonalDown="0">
        <left/>
        <right style="thin">
          <color theme="1"/>
        </right>
        <top style="thin">
          <color theme="1"/>
        </top>
        <bottom style="thin">
          <color theme="1"/>
        </bottom>
        <vertical/>
        <horizontal/>
      </border>
      <protection locked="0" hidden="0"/>
    </dxf>
    <dxf>
      <border outline="0">
        <left style="thin">
          <color theme="1"/>
        </left>
        <right style="thin">
          <color theme="1"/>
        </right>
        <bottom style="thin">
          <color theme="1"/>
        </bottom>
      </border>
    </dxf>
    <dxf>
      <font>
        <b/>
        <i val="0"/>
        <strike val="0"/>
        <condense val="0"/>
        <extend val="0"/>
        <outline val="0"/>
        <shadow val="0"/>
        <u val="none"/>
        <vertAlign val="baseline"/>
        <sz val="10"/>
        <color theme="1"/>
        <name val="Montserrat"/>
        <scheme val="none"/>
      </font>
      <alignment horizontal="general" vertical="center" textRotation="0" wrapText="1" indent="0" justifyLastLine="0" shrinkToFit="0" readingOrder="0"/>
      <protection locked="0" hidden="0"/>
    </dxf>
    <dxf>
      <border outline="0">
        <bottom style="thin">
          <color theme="1"/>
        </bottom>
      </border>
    </dxf>
    <dxf>
      <font>
        <b/>
        <i val="0"/>
        <strike val="0"/>
        <condense val="0"/>
        <extend val="0"/>
        <outline val="0"/>
        <shadow val="0"/>
        <u val="none"/>
        <vertAlign val="baseline"/>
        <sz val="10"/>
        <color theme="0" tint="-4.9989318521683403E-2"/>
        <name val="Montserrat"/>
        <scheme val="none"/>
      </font>
      <fill>
        <patternFill>
          <fgColor indexed="64"/>
          <bgColor theme="0" tint="-4.9989318521683403E-2"/>
        </patternFill>
      </fill>
      <alignment horizontal="general" vertical="center" textRotation="0" wrapText="1" indent="0" justifyLastLine="0" shrinkToFit="0" readingOrder="0"/>
      <border diagonalUp="0" diagonalDown="0" outline="0">
        <left style="thin">
          <color theme="1"/>
        </left>
        <right style="thin">
          <color theme="1"/>
        </right>
        <top/>
        <bottom/>
      </border>
      <protection locked="0" hidden="0"/>
    </dxf>
    <dxf>
      <font>
        <b val="0"/>
        <i val="0"/>
        <strike val="0"/>
        <condense val="0"/>
        <extend val="0"/>
        <outline val="0"/>
        <shadow val="0"/>
        <u val="none"/>
        <vertAlign val="baseline"/>
        <sz val="9"/>
        <color theme="1"/>
        <name val="Montserrat"/>
        <scheme val="none"/>
      </font>
      <numFmt numFmtId="2" formatCode="0.00"/>
      <alignment horizontal="center" vertical="bottom" textRotation="0" wrapText="1" indent="0" justifyLastLine="0" shrinkToFit="0" readingOrder="0"/>
      <border diagonalUp="0" diagonalDown="0">
        <left style="thin">
          <color theme="1"/>
        </left>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bottom"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bottom"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bottom"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numFmt numFmtId="2" formatCode="0.00"/>
      <alignment horizontal="center" vertical="bottom"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numFmt numFmtId="2" formatCode="0.00"/>
      <alignment horizontal="center" vertical="bottom"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bottom"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bottom"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bottom"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bottom"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general" vertical="bottom"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bottom"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bottom" textRotation="0" wrapText="1" indent="0" justifyLastLine="0" shrinkToFit="0" readingOrder="0"/>
      <border diagonalUp="0" diagonalDown="0">
        <left/>
        <right style="thin">
          <color theme="1"/>
        </right>
        <top style="thin">
          <color theme="1"/>
        </top>
        <bottom style="thin">
          <color theme="1"/>
        </bottom>
        <vertical/>
        <horizontal/>
      </border>
      <protection locked="0" hidden="0"/>
    </dxf>
    <dxf>
      <border outline="0">
        <top style="thin">
          <color theme="1"/>
        </top>
      </border>
    </dxf>
    <dxf>
      <border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theme="1"/>
        <name val="Montserrat"/>
        <scheme val="none"/>
      </font>
      <alignment horizontal="center" vertical="bottom" textRotation="0" wrapText="1" indent="0" justifyLastLine="0" shrinkToFit="0" readingOrder="0"/>
      <protection locked="0" hidden="0"/>
    </dxf>
    <dxf>
      <border outline="0">
        <bottom style="thin">
          <color theme="1"/>
        </bottom>
      </border>
    </dxf>
    <dxf>
      <font>
        <b val="0"/>
        <i val="0"/>
        <strike val="0"/>
        <condense val="0"/>
        <extend val="0"/>
        <outline val="0"/>
        <shadow val="0"/>
        <u val="none"/>
        <vertAlign val="baseline"/>
        <sz val="9"/>
        <color theme="0" tint="-4.9989318521683403E-2"/>
        <name val="Montserrat"/>
        <scheme val="none"/>
      </font>
      <fill>
        <patternFill patternType="solid">
          <fgColor indexed="64"/>
          <bgColor theme="0" tint="-4.9989318521683403E-2"/>
        </patternFill>
      </fill>
      <alignment horizontal="center" vertical="bottom" textRotation="0" wrapText="1" indent="0" justifyLastLine="0" shrinkToFit="0" readingOrder="0"/>
      <border diagonalUp="0" diagonalDown="0" outline="0">
        <left style="thin">
          <color theme="1"/>
        </left>
        <right style="thin">
          <color theme="1"/>
        </right>
        <top/>
        <bottom/>
      </border>
      <protection locked="0" hidden="0"/>
    </dxf>
    <dxf>
      <font>
        <b val="0"/>
        <i val="0"/>
        <strike val="0"/>
        <condense val="0"/>
        <extend val="0"/>
        <outline val="0"/>
        <shadow val="0"/>
        <u val="none"/>
        <vertAlign val="baseline"/>
        <sz val="9"/>
        <color theme="1"/>
        <name val="Montserrat"/>
        <family val="3"/>
        <scheme val="none"/>
      </font>
      <alignment horizontal="center" vertical="center" textRotation="0" wrapText="1" indent="0" justifyLastLine="0" shrinkToFit="0" readingOrder="0"/>
      <border diagonalUp="0" diagonalDown="0">
        <left style="thin">
          <color theme="1"/>
        </left>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family val="3"/>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family val="3"/>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family val="3"/>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family val="3"/>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family val="3"/>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family val="3"/>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family val="3"/>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family val="3"/>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family val="3"/>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family val="3"/>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family val="3"/>
        <scheme val="none"/>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family val="3"/>
        <scheme val="none"/>
      </font>
      <alignment horizontal="center" vertical="center" textRotation="0" wrapText="1" indent="0" justifyLastLine="0" shrinkToFit="0" readingOrder="0"/>
      <border diagonalUp="0" diagonalDown="0">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family val="3"/>
        <scheme val="none"/>
      </font>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9"/>
        <color theme="1"/>
        <name val="Montserrat"/>
        <family val="3"/>
        <scheme val="none"/>
      </font>
      <alignment horizontal="center" vertical="center" textRotation="0" wrapText="0" indent="0" justifyLastLine="0" shrinkToFit="0" readingOrder="0"/>
      <border diagonalUp="0" diagonalDown="0">
        <left style="thin">
          <color theme="1"/>
        </left>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family val="3"/>
        <scheme val="none"/>
      </font>
      <alignment horizontal="center" vertical="center" textRotation="0" wrapText="0" indent="0" justifyLastLine="0" shrinkToFit="0" readingOrder="0"/>
      <border diagonalUp="0" diagonalDown="0">
        <left/>
        <right style="thin">
          <color theme="1"/>
        </right>
        <top style="thin">
          <color theme="1"/>
        </top>
        <bottom style="thin">
          <color theme="1"/>
        </bottom>
        <vertical/>
        <horizontal/>
      </border>
      <protection locked="0" hidden="0"/>
    </dxf>
    <dxf>
      <border outline="0">
        <left style="thin">
          <color theme="1"/>
        </left>
        <right style="thin">
          <color theme="1"/>
        </right>
      </border>
    </dxf>
    <dxf>
      <font>
        <b val="0"/>
        <i val="0"/>
        <strike val="0"/>
        <condense val="0"/>
        <extend val="0"/>
        <outline val="0"/>
        <shadow val="0"/>
        <u val="none"/>
        <vertAlign val="baseline"/>
        <sz val="9"/>
        <color theme="1"/>
        <name val="Montserrat"/>
        <family val="3"/>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0" tint="-4.9989318521683403E-2"/>
        <name val="Montserrat"/>
        <family val="3"/>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theme="1"/>
        </left>
        <right style="thin">
          <color theme="1"/>
        </right>
        <top/>
        <bottom/>
      </border>
      <protection locked="1" hidden="0"/>
    </dxf>
    <dxf>
      <font>
        <b val="0"/>
        <i val="0"/>
        <strike val="0"/>
        <condense val="0"/>
        <extend val="0"/>
        <outline val="0"/>
        <shadow val="0"/>
        <u val="none"/>
        <vertAlign val="baseline"/>
        <sz val="9"/>
        <color theme="1"/>
        <name val="Montserrat"/>
        <scheme val="none"/>
      </font>
      <numFmt numFmtId="2" formatCode="0.00"/>
      <alignment horizontal="center" vertical="center" textRotation="0" wrapText="1" indent="0" justifyLastLine="0" shrinkToFit="0" readingOrder="0"/>
      <border diagonalUp="0" diagonalDown="0">
        <left style="thin">
          <color theme="1"/>
        </left>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numFmt numFmtId="2" formatCode="0.00"/>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numFmt numFmtId="2" formatCode="0.00"/>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0" hidden="0"/>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left/>
        <right style="thin">
          <color theme="1"/>
        </right>
        <top style="thin">
          <color theme="1"/>
        </top>
        <bottom style="thin">
          <color theme="1"/>
        </bottom>
        <vertical/>
        <horizontal/>
      </border>
      <protection locked="0" hidden="0"/>
    </dxf>
    <dxf>
      <border outline="0">
        <top style="thin">
          <color theme="1"/>
        </top>
      </border>
    </dxf>
    <dxf>
      <border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protection locked="0" hidden="0"/>
    </dxf>
    <dxf>
      <border outline="0">
        <bottom style="thin">
          <color theme="1"/>
        </bottom>
      </border>
    </dxf>
    <dxf>
      <font>
        <b val="0"/>
        <i val="0"/>
        <strike val="0"/>
        <condense val="0"/>
        <extend val="0"/>
        <outline val="0"/>
        <shadow val="0"/>
        <u val="none"/>
        <vertAlign val="baseline"/>
        <sz val="9"/>
        <color theme="0" tint="-4.9989318521683403E-2"/>
        <name val="Montserrat"/>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theme="1"/>
        </left>
        <right style="thin">
          <color theme="1"/>
        </right>
        <top/>
        <bottom/>
      </border>
      <protection locked="0" hidden="0"/>
    </dxf>
  </dxfs>
  <tableStyles count="0" defaultTableStyle="TableStyleMedium9" defaultPivotStyle="PivotStyleMedium7"/>
  <colors>
    <mruColors>
      <color rgb="FF691C31"/>
      <color rgb="FFF961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microsoft.com/office/2017/10/relationships/person" Target="NULL"/><Relationship Id="rId3" Type="http://schemas.openxmlformats.org/officeDocument/2006/relationships/worksheet" Target="worksheets/sheet3.xml"/><Relationship Id="rId21" Type="http://schemas.microsoft.com/office/2017/10/relationships/person" Target="NULL"/><Relationship Id="rId7" Type="http://schemas.openxmlformats.org/officeDocument/2006/relationships/worksheet" Target="worksheets/sheet7.xml"/><Relationship Id="rId12" Type="http://schemas.openxmlformats.org/officeDocument/2006/relationships/calcChain" Target="calcChain.xml"/><Relationship Id="rId17" Type="http://schemas.microsoft.com/office/2017/10/relationships/person" Target="NULL"/><Relationship Id="rId2" Type="http://schemas.openxmlformats.org/officeDocument/2006/relationships/worksheet" Target="worksheets/sheet2.xml"/><Relationship Id="rId16" Type="http://schemas.microsoft.com/office/2017/10/relationships/person" Target="NULL"/><Relationship Id="rId20" Type="http://schemas.microsoft.com/office/2017/10/relationships/person" Target="NUL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24" Type="http://schemas.microsoft.com/office/2017/10/relationships/person" Target="NULL"/><Relationship Id="rId5" Type="http://schemas.openxmlformats.org/officeDocument/2006/relationships/worksheet" Target="worksheets/sheet5.xml"/><Relationship Id="rId23" Type="http://schemas.microsoft.com/office/2017/10/relationships/person" Target="NULL"/><Relationship Id="rId10" Type="http://schemas.openxmlformats.org/officeDocument/2006/relationships/styles" Target="styles.xml"/><Relationship Id="rId19" Type="http://schemas.microsoft.com/office/2017/10/relationships/person" Target="NULL"/><Relationship Id="rId4" Type="http://schemas.openxmlformats.org/officeDocument/2006/relationships/worksheet" Target="worksheets/sheet4.xml"/><Relationship Id="rId9" Type="http://schemas.openxmlformats.org/officeDocument/2006/relationships/theme" Target="theme/theme1.xml"/><Relationship Id="rId22" Type="http://schemas.microsoft.com/office/2017/10/relationships/person" Target="NUL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18</xdr:col>
      <xdr:colOff>0</xdr:colOff>
      <xdr:row>5</xdr:row>
      <xdr:rowOff>0</xdr:rowOff>
    </xdr:from>
    <xdr:to>
      <xdr:col>18</xdr:col>
      <xdr:colOff>304800</xdr:colOff>
      <xdr:row>6</xdr:row>
      <xdr:rowOff>104775</xdr:rowOff>
    </xdr:to>
    <xdr:sp macro="" textlink="">
      <xdr:nvSpPr>
        <xdr:cNvPr id="1026" name="AutoShape 2" descr="DIF Hidalgo 2022 - 2028 Logo PNG Vector (AI) Free Download">
          <a:extLst>
            <a:ext uri="{FF2B5EF4-FFF2-40B4-BE49-F238E27FC236}">
              <a16:creationId xmlns:a16="http://schemas.microsoft.com/office/drawing/2014/main" id="{0D354427-EBDA-D537-B611-42072949DCFA}"/>
            </a:ext>
          </a:extLst>
        </xdr:cNvPr>
        <xdr:cNvSpPr>
          <a:spLocks noChangeAspect="1" noChangeArrowheads="1"/>
        </xdr:cNvSpPr>
      </xdr:nvSpPr>
      <xdr:spPr bwMode="auto">
        <a:xfrm>
          <a:off x="22983825" y="1000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12</xdr:col>
      <xdr:colOff>503465</xdr:colOff>
      <xdr:row>1</xdr:row>
      <xdr:rowOff>27214</xdr:rowOff>
    </xdr:from>
    <xdr:to>
      <xdr:col>15</xdr:col>
      <xdr:colOff>612321</xdr:colOff>
      <xdr:row>4</xdr:row>
      <xdr:rowOff>81642</xdr:rowOff>
    </xdr:to>
    <xdr:sp macro="" textlink="">
      <xdr:nvSpPr>
        <xdr:cNvPr id="2" name="Rectángulo 1">
          <a:extLst>
            <a:ext uri="{FF2B5EF4-FFF2-40B4-BE49-F238E27FC236}">
              <a16:creationId xmlns:a16="http://schemas.microsoft.com/office/drawing/2014/main" id="{03F19812-9175-1EF8-D438-3E881C03161E}"/>
            </a:ext>
          </a:extLst>
        </xdr:cNvPr>
        <xdr:cNvSpPr/>
      </xdr:nvSpPr>
      <xdr:spPr>
        <a:xfrm>
          <a:off x="12641036" y="231321"/>
          <a:ext cx="1768928" cy="666750"/>
        </a:xfrm>
        <a:prstGeom prst="rect">
          <a:avLst/>
        </a:prstGeom>
        <a:noFill/>
        <a:ln>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12</xdr:col>
      <xdr:colOff>353786</xdr:colOff>
      <xdr:row>0</xdr:row>
      <xdr:rowOff>136072</xdr:rowOff>
    </xdr:from>
    <xdr:to>
      <xdr:col>15</xdr:col>
      <xdr:colOff>1156607</xdr:colOff>
      <xdr:row>4</xdr:row>
      <xdr:rowOff>0</xdr:rowOff>
    </xdr:to>
    <xdr:sp macro="" textlink="">
      <xdr:nvSpPr>
        <xdr:cNvPr id="4" name="Rectángulo 3">
          <a:extLst>
            <a:ext uri="{FF2B5EF4-FFF2-40B4-BE49-F238E27FC236}">
              <a16:creationId xmlns:a16="http://schemas.microsoft.com/office/drawing/2014/main" id="{05384F02-297A-CA6A-BB4D-574103775DFB}"/>
            </a:ext>
          </a:extLst>
        </xdr:cNvPr>
        <xdr:cNvSpPr/>
      </xdr:nvSpPr>
      <xdr:spPr>
        <a:xfrm>
          <a:off x="12491357" y="136072"/>
          <a:ext cx="2462893" cy="680357"/>
        </a:xfrm>
        <a:prstGeom prst="rect">
          <a:avLst/>
        </a:prstGeom>
        <a:ln>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s-MX" sz="1100"/>
            <a:t>LOGO INSTITUCIONAL</a:t>
          </a:r>
        </a:p>
      </xdr:txBody>
    </xdr:sp>
    <xdr:clientData/>
  </xdr:twoCellAnchor>
  <xdr:twoCellAnchor editAs="oneCell">
    <xdr:from>
      <xdr:col>0</xdr:col>
      <xdr:colOff>136071</xdr:colOff>
      <xdr:row>22</xdr:row>
      <xdr:rowOff>30193</xdr:rowOff>
    </xdr:from>
    <xdr:to>
      <xdr:col>0</xdr:col>
      <xdr:colOff>653142</xdr:colOff>
      <xdr:row>24</xdr:row>
      <xdr:rowOff>45485</xdr:rowOff>
    </xdr:to>
    <xdr:pic>
      <xdr:nvPicPr>
        <xdr:cNvPr id="8" name="Imagen 7">
          <a:extLst>
            <a:ext uri="{FF2B5EF4-FFF2-40B4-BE49-F238E27FC236}">
              <a16:creationId xmlns:a16="http://schemas.microsoft.com/office/drawing/2014/main" id="{8035807C-2DA9-1688-227F-560560DAE87F}"/>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Lst>
        </a:blip>
        <a:srcRect l="26060" t="23895" r="26600" b="37331"/>
        <a:stretch>
          <a:fillRect/>
        </a:stretch>
      </xdr:blipFill>
      <xdr:spPr>
        <a:xfrm>
          <a:off x="136071" y="5037622"/>
          <a:ext cx="517071" cy="423506"/>
        </a:xfrm>
        <a:prstGeom prst="rect">
          <a:avLst/>
        </a:prstGeom>
      </xdr:spPr>
    </xdr:pic>
    <xdr:clientData/>
  </xdr:twoCellAnchor>
  <xdr:twoCellAnchor editAs="oneCell">
    <xdr:from>
      <xdr:col>0</xdr:col>
      <xdr:colOff>163287</xdr:colOff>
      <xdr:row>1</xdr:row>
      <xdr:rowOff>54429</xdr:rowOff>
    </xdr:from>
    <xdr:to>
      <xdr:col>2</xdr:col>
      <xdr:colOff>1065458</xdr:colOff>
      <xdr:row>3</xdr:row>
      <xdr:rowOff>186215</xdr:rowOff>
    </xdr:to>
    <xdr:pic>
      <xdr:nvPicPr>
        <xdr:cNvPr id="10" name="Imagen 9">
          <a:extLst>
            <a:ext uri="{FF2B5EF4-FFF2-40B4-BE49-F238E27FC236}">
              <a16:creationId xmlns:a16="http://schemas.microsoft.com/office/drawing/2014/main" id="{A36F4A38-ACBC-88B5-C320-6BB409B53D3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63287" y="258536"/>
          <a:ext cx="2535028" cy="54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641479</xdr:colOff>
      <xdr:row>0</xdr:row>
      <xdr:rowOff>40821</xdr:rowOff>
    </xdr:from>
    <xdr:to>
      <xdr:col>12</xdr:col>
      <xdr:colOff>596770</xdr:colOff>
      <xdr:row>3</xdr:row>
      <xdr:rowOff>147735</xdr:rowOff>
    </xdr:to>
    <xdr:sp macro="" textlink="">
      <xdr:nvSpPr>
        <xdr:cNvPr id="3" name="Rectángulo 2">
          <a:extLst>
            <a:ext uri="{FF2B5EF4-FFF2-40B4-BE49-F238E27FC236}">
              <a16:creationId xmlns:a16="http://schemas.microsoft.com/office/drawing/2014/main" id="{F409BF90-A461-4510-8C83-FBA79220209A}"/>
            </a:ext>
          </a:extLst>
        </xdr:cNvPr>
        <xdr:cNvSpPr/>
      </xdr:nvSpPr>
      <xdr:spPr>
        <a:xfrm>
          <a:off x="10438622" y="40821"/>
          <a:ext cx="2486219" cy="719235"/>
        </a:xfrm>
        <a:prstGeom prst="rect">
          <a:avLst/>
        </a:prstGeom>
        <a:ln>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s-MX" sz="1100"/>
            <a:t>LOGO INSTITUCIONAL</a:t>
          </a:r>
        </a:p>
      </xdr:txBody>
    </xdr:sp>
    <xdr:clientData/>
  </xdr:twoCellAnchor>
  <xdr:twoCellAnchor editAs="oneCell">
    <xdr:from>
      <xdr:col>0</xdr:col>
      <xdr:colOff>211666</xdr:colOff>
      <xdr:row>22</xdr:row>
      <xdr:rowOff>15119</xdr:rowOff>
    </xdr:from>
    <xdr:to>
      <xdr:col>0</xdr:col>
      <xdr:colOff>728737</xdr:colOff>
      <xdr:row>24</xdr:row>
      <xdr:rowOff>45531</xdr:rowOff>
    </xdr:to>
    <xdr:pic>
      <xdr:nvPicPr>
        <xdr:cNvPr id="6" name="Imagen 5">
          <a:extLst>
            <a:ext uri="{FF2B5EF4-FFF2-40B4-BE49-F238E27FC236}">
              <a16:creationId xmlns:a16="http://schemas.microsoft.com/office/drawing/2014/main" id="{41B94B9B-5442-4645-B898-23003BFAED46}"/>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Lst>
        </a:blip>
        <a:srcRect l="26060" t="23895" r="26600" b="37331"/>
        <a:stretch>
          <a:fillRect/>
        </a:stretch>
      </xdr:blipFill>
      <xdr:spPr>
        <a:xfrm>
          <a:off x="211666" y="4112381"/>
          <a:ext cx="517071" cy="423506"/>
        </a:xfrm>
        <a:prstGeom prst="rect">
          <a:avLst/>
        </a:prstGeom>
      </xdr:spPr>
    </xdr:pic>
    <xdr:clientData/>
  </xdr:twoCellAnchor>
  <xdr:twoCellAnchor editAs="oneCell">
    <xdr:from>
      <xdr:col>0</xdr:col>
      <xdr:colOff>95250</xdr:colOff>
      <xdr:row>1</xdr:row>
      <xdr:rowOff>13608</xdr:rowOff>
    </xdr:from>
    <xdr:to>
      <xdr:col>2</xdr:col>
      <xdr:colOff>942992</xdr:colOff>
      <xdr:row>3</xdr:row>
      <xdr:rowOff>145394</xdr:rowOff>
    </xdr:to>
    <xdr:pic>
      <xdr:nvPicPr>
        <xdr:cNvPr id="2" name="Imagen 1">
          <a:extLst>
            <a:ext uri="{FF2B5EF4-FFF2-40B4-BE49-F238E27FC236}">
              <a16:creationId xmlns:a16="http://schemas.microsoft.com/office/drawing/2014/main" id="{F4368E33-AEE9-476B-9D9D-6B45CA53BF8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5250" y="217715"/>
          <a:ext cx="2535028" cy="54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12</xdr:col>
      <xdr:colOff>991115</xdr:colOff>
      <xdr:row>0</xdr:row>
      <xdr:rowOff>128717</xdr:rowOff>
    </xdr:from>
    <xdr:to>
      <xdr:col>15</xdr:col>
      <xdr:colOff>763839</xdr:colOff>
      <xdr:row>3</xdr:row>
      <xdr:rowOff>191236</xdr:rowOff>
    </xdr:to>
    <xdr:sp macro="" textlink="">
      <xdr:nvSpPr>
        <xdr:cNvPr id="2" name="Rectángulo 1">
          <a:extLst>
            <a:ext uri="{FF2B5EF4-FFF2-40B4-BE49-F238E27FC236}">
              <a16:creationId xmlns:a16="http://schemas.microsoft.com/office/drawing/2014/main" id="{1E86DD34-BE6F-406C-88E4-65EF06DBC8B9}"/>
            </a:ext>
          </a:extLst>
        </xdr:cNvPr>
        <xdr:cNvSpPr/>
      </xdr:nvSpPr>
      <xdr:spPr>
        <a:xfrm>
          <a:off x="10786419" y="128717"/>
          <a:ext cx="3235190" cy="680357"/>
        </a:xfrm>
        <a:prstGeom prst="rect">
          <a:avLst/>
        </a:prstGeom>
        <a:ln>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s-MX" sz="1100"/>
            <a:t>LOGO INSTITUCIONAL</a:t>
          </a:r>
        </a:p>
      </xdr:txBody>
    </xdr:sp>
    <xdr:clientData/>
  </xdr:twoCellAnchor>
  <xdr:twoCellAnchor editAs="oneCell">
    <xdr:from>
      <xdr:col>0</xdr:col>
      <xdr:colOff>180202</xdr:colOff>
      <xdr:row>16</xdr:row>
      <xdr:rowOff>38615</xdr:rowOff>
    </xdr:from>
    <xdr:to>
      <xdr:col>0</xdr:col>
      <xdr:colOff>697273</xdr:colOff>
      <xdr:row>18</xdr:row>
      <xdr:rowOff>65349</xdr:rowOff>
    </xdr:to>
    <xdr:pic>
      <xdr:nvPicPr>
        <xdr:cNvPr id="3" name="Imagen 2">
          <a:extLst>
            <a:ext uri="{FF2B5EF4-FFF2-40B4-BE49-F238E27FC236}">
              <a16:creationId xmlns:a16="http://schemas.microsoft.com/office/drawing/2014/main" id="{5FEDE26C-4AB0-4C17-8C68-085FE636098C}"/>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Lst>
        </a:blip>
        <a:srcRect l="26060" t="23895" r="26600" b="37331"/>
        <a:stretch>
          <a:fillRect/>
        </a:stretch>
      </xdr:blipFill>
      <xdr:spPr>
        <a:xfrm>
          <a:off x="180202" y="4144662"/>
          <a:ext cx="517071" cy="438626"/>
        </a:xfrm>
        <a:prstGeom prst="rect">
          <a:avLst/>
        </a:prstGeom>
      </xdr:spPr>
    </xdr:pic>
    <xdr:clientData/>
  </xdr:twoCellAnchor>
  <xdr:twoCellAnchor editAs="oneCell">
    <xdr:from>
      <xdr:col>0</xdr:col>
      <xdr:colOff>167332</xdr:colOff>
      <xdr:row>0</xdr:row>
      <xdr:rowOff>193074</xdr:rowOff>
    </xdr:from>
    <xdr:to>
      <xdr:col>2</xdr:col>
      <xdr:colOff>848846</xdr:colOff>
      <xdr:row>3</xdr:row>
      <xdr:rowOff>115236</xdr:rowOff>
    </xdr:to>
    <xdr:pic>
      <xdr:nvPicPr>
        <xdr:cNvPr id="7" name="Imagen 6">
          <a:extLst>
            <a:ext uri="{FF2B5EF4-FFF2-40B4-BE49-F238E27FC236}">
              <a16:creationId xmlns:a16="http://schemas.microsoft.com/office/drawing/2014/main" id="{D7FBCB06-E127-4CF3-8356-DD846B2B21F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67332" y="193074"/>
          <a:ext cx="2535028" cy="54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12</xdr:col>
      <xdr:colOff>596900</xdr:colOff>
      <xdr:row>0</xdr:row>
      <xdr:rowOff>152400</xdr:rowOff>
    </xdr:from>
    <xdr:to>
      <xdr:col>15</xdr:col>
      <xdr:colOff>545193</xdr:colOff>
      <xdr:row>4</xdr:row>
      <xdr:rowOff>19957</xdr:rowOff>
    </xdr:to>
    <xdr:sp macro="" textlink="">
      <xdr:nvSpPr>
        <xdr:cNvPr id="2" name="Rectángulo 1">
          <a:extLst>
            <a:ext uri="{FF2B5EF4-FFF2-40B4-BE49-F238E27FC236}">
              <a16:creationId xmlns:a16="http://schemas.microsoft.com/office/drawing/2014/main" id="{4FE0B0A7-028F-47EA-8012-2A24B3AA8EC4}"/>
            </a:ext>
          </a:extLst>
        </xdr:cNvPr>
        <xdr:cNvSpPr/>
      </xdr:nvSpPr>
      <xdr:spPr>
        <a:xfrm>
          <a:off x="11049000" y="152400"/>
          <a:ext cx="2462893" cy="680357"/>
        </a:xfrm>
        <a:prstGeom prst="rect">
          <a:avLst/>
        </a:prstGeom>
        <a:ln>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s-MX" sz="1100"/>
            <a:t>LOGO INSTITUCIONAL</a:t>
          </a:r>
        </a:p>
      </xdr:txBody>
    </xdr:sp>
    <xdr:clientData/>
  </xdr:twoCellAnchor>
  <xdr:twoCellAnchor editAs="oneCell">
    <xdr:from>
      <xdr:col>0</xdr:col>
      <xdr:colOff>139700</xdr:colOff>
      <xdr:row>20</xdr:row>
      <xdr:rowOff>25400</xdr:rowOff>
    </xdr:from>
    <xdr:to>
      <xdr:col>0</xdr:col>
      <xdr:colOff>656771</xdr:colOff>
      <xdr:row>21</xdr:row>
      <xdr:rowOff>260826</xdr:rowOff>
    </xdr:to>
    <xdr:pic>
      <xdr:nvPicPr>
        <xdr:cNvPr id="3" name="Imagen 2">
          <a:extLst>
            <a:ext uri="{FF2B5EF4-FFF2-40B4-BE49-F238E27FC236}">
              <a16:creationId xmlns:a16="http://schemas.microsoft.com/office/drawing/2014/main" id="{C43DA7D6-AA60-43DD-8848-C3EBCECD0148}"/>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Lst>
        </a:blip>
        <a:srcRect l="26060" t="23895" r="26600" b="37331"/>
        <a:stretch>
          <a:fillRect/>
        </a:stretch>
      </xdr:blipFill>
      <xdr:spPr>
        <a:xfrm>
          <a:off x="139700" y="5054600"/>
          <a:ext cx="517071" cy="438626"/>
        </a:xfrm>
        <a:prstGeom prst="rect">
          <a:avLst/>
        </a:prstGeom>
      </xdr:spPr>
    </xdr:pic>
    <xdr:clientData/>
  </xdr:twoCellAnchor>
  <xdr:twoCellAnchor editAs="oneCell">
    <xdr:from>
      <xdr:col>0</xdr:col>
      <xdr:colOff>76200</xdr:colOff>
      <xdr:row>1</xdr:row>
      <xdr:rowOff>25400</xdr:rowOff>
    </xdr:from>
    <xdr:to>
      <xdr:col>2</xdr:col>
      <xdr:colOff>782428</xdr:colOff>
      <xdr:row>3</xdr:row>
      <xdr:rowOff>159000</xdr:rowOff>
    </xdr:to>
    <xdr:pic>
      <xdr:nvPicPr>
        <xdr:cNvPr id="5" name="Imagen 4">
          <a:extLst>
            <a:ext uri="{FF2B5EF4-FFF2-40B4-BE49-F238E27FC236}">
              <a16:creationId xmlns:a16="http://schemas.microsoft.com/office/drawing/2014/main" id="{AE3B8600-5EBA-4CAE-BA1A-8648C6A2333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6200" y="228600"/>
          <a:ext cx="2535028" cy="54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214313</xdr:colOff>
      <xdr:row>22</xdr:row>
      <xdr:rowOff>11906</xdr:rowOff>
    </xdr:from>
    <xdr:to>
      <xdr:col>0</xdr:col>
      <xdr:colOff>731384</xdr:colOff>
      <xdr:row>24</xdr:row>
      <xdr:rowOff>30599</xdr:rowOff>
    </xdr:to>
    <xdr:pic>
      <xdr:nvPicPr>
        <xdr:cNvPr id="2" name="Imagen 1">
          <a:extLst>
            <a:ext uri="{FF2B5EF4-FFF2-40B4-BE49-F238E27FC236}">
              <a16:creationId xmlns:a16="http://schemas.microsoft.com/office/drawing/2014/main" id="{CEBC8B29-0878-4DE1-8075-59BC2E6CB33D}"/>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Lst>
        </a:blip>
        <a:srcRect l="26060" t="23895" r="26600" b="37331"/>
        <a:stretch>
          <a:fillRect/>
        </a:stretch>
      </xdr:blipFill>
      <xdr:spPr>
        <a:xfrm>
          <a:off x="214313" y="4810125"/>
          <a:ext cx="517071" cy="423506"/>
        </a:xfrm>
        <a:prstGeom prst="rect">
          <a:avLst/>
        </a:prstGeom>
      </xdr:spPr>
    </xdr:pic>
    <xdr:clientData/>
  </xdr:twoCellAnchor>
  <xdr:twoCellAnchor>
    <xdr:from>
      <xdr:col>8</xdr:col>
      <xdr:colOff>773906</xdr:colOff>
      <xdr:row>0</xdr:row>
      <xdr:rowOff>142875</xdr:rowOff>
    </xdr:from>
    <xdr:to>
      <xdr:col>11</xdr:col>
      <xdr:colOff>736487</xdr:colOff>
      <xdr:row>4</xdr:row>
      <xdr:rowOff>13607</xdr:rowOff>
    </xdr:to>
    <xdr:sp macro="" textlink="">
      <xdr:nvSpPr>
        <xdr:cNvPr id="3" name="Rectángulo 2">
          <a:extLst>
            <a:ext uri="{FF2B5EF4-FFF2-40B4-BE49-F238E27FC236}">
              <a16:creationId xmlns:a16="http://schemas.microsoft.com/office/drawing/2014/main" id="{94107565-0B73-40D7-8DD9-3BF224BACA08}"/>
            </a:ext>
          </a:extLst>
        </xdr:cNvPr>
        <xdr:cNvSpPr/>
      </xdr:nvSpPr>
      <xdr:spPr>
        <a:xfrm>
          <a:off x="7381875" y="142875"/>
          <a:ext cx="2462893" cy="680357"/>
        </a:xfrm>
        <a:prstGeom prst="rect">
          <a:avLst/>
        </a:prstGeom>
        <a:ln>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s-MX" sz="1100"/>
            <a:t>LOGO INSTITUCIONAL</a:t>
          </a:r>
        </a:p>
      </xdr:txBody>
    </xdr:sp>
    <xdr:clientData/>
  </xdr:twoCellAnchor>
  <xdr:twoCellAnchor editAs="oneCell">
    <xdr:from>
      <xdr:col>0</xdr:col>
      <xdr:colOff>11906</xdr:colOff>
      <xdr:row>1</xdr:row>
      <xdr:rowOff>23812</xdr:rowOff>
    </xdr:from>
    <xdr:to>
      <xdr:col>2</xdr:col>
      <xdr:colOff>808621</xdr:colOff>
      <xdr:row>3</xdr:row>
      <xdr:rowOff>158999</xdr:rowOff>
    </xdr:to>
    <xdr:pic>
      <xdr:nvPicPr>
        <xdr:cNvPr id="4" name="Imagen 3">
          <a:extLst>
            <a:ext uri="{FF2B5EF4-FFF2-40B4-BE49-F238E27FC236}">
              <a16:creationId xmlns:a16="http://schemas.microsoft.com/office/drawing/2014/main" id="{27C7830A-D345-4390-8DA3-D46408DF2B1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906" y="226218"/>
          <a:ext cx="2535028" cy="54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182563</xdr:colOff>
      <xdr:row>26</xdr:row>
      <xdr:rowOff>202406</xdr:rowOff>
    </xdr:from>
    <xdr:to>
      <xdr:col>1</xdr:col>
      <xdr:colOff>699634</xdr:colOff>
      <xdr:row>29</xdr:row>
      <xdr:rowOff>14723</xdr:rowOff>
    </xdr:to>
    <xdr:pic>
      <xdr:nvPicPr>
        <xdr:cNvPr id="3" name="Imagen 2">
          <a:extLst>
            <a:ext uri="{FF2B5EF4-FFF2-40B4-BE49-F238E27FC236}">
              <a16:creationId xmlns:a16="http://schemas.microsoft.com/office/drawing/2014/main" id="{01B63053-7CFA-4C72-9543-708F51CBF075}"/>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Lst>
        </a:blip>
        <a:srcRect l="26060" t="23895" r="26600" b="37331"/>
        <a:stretch>
          <a:fillRect/>
        </a:stretch>
      </xdr:blipFill>
      <xdr:spPr>
        <a:xfrm>
          <a:off x="1023938" y="6298406"/>
          <a:ext cx="517071" cy="431443"/>
        </a:xfrm>
        <a:prstGeom prst="rect">
          <a:avLst/>
        </a:prstGeom>
      </xdr:spPr>
    </xdr:pic>
    <xdr:clientData/>
  </xdr:twoCellAnchor>
  <xdr:twoCellAnchor>
    <xdr:from>
      <xdr:col>8</xdr:col>
      <xdr:colOff>777875</xdr:colOff>
      <xdr:row>0</xdr:row>
      <xdr:rowOff>142875</xdr:rowOff>
    </xdr:from>
    <xdr:to>
      <xdr:col>11</xdr:col>
      <xdr:colOff>716643</xdr:colOff>
      <xdr:row>3</xdr:row>
      <xdr:rowOff>204107</xdr:rowOff>
    </xdr:to>
    <xdr:sp macro="" textlink="">
      <xdr:nvSpPr>
        <xdr:cNvPr id="4" name="Rectángulo 3">
          <a:extLst>
            <a:ext uri="{FF2B5EF4-FFF2-40B4-BE49-F238E27FC236}">
              <a16:creationId xmlns:a16="http://schemas.microsoft.com/office/drawing/2014/main" id="{81AFFF01-834B-4D05-98F1-3E95E67B8F67}"/>
            </a:ext>
          </a:extLst>
        </xdr:cNvPr>
        <xdr:cNvSpPr/>
      </xdr:nvSpPr>
      <xdr:spPr>
        <a:xfrm>
          <a:off x="7239000" y="142875"/>
          <a:ext cx="2462893" cy="680357"/>
        </a:xfrm>
        <a:prstGeom prst="rect">
          <a:avLst/>
        </a:prstGeom>
        <a:ln>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s-MX" sz="1100"/>
            <a:t>LOGO INSTITUCIONAL</a:t>
          </a:r>
        </a:p>
      </xdr:txBody>
    </xdr:sp>
    <xdr:clientData/>
  </xdr:twoCellAnchor>
  <xdr:twoCellAnchor editAs="oneCell">
    <xdr:from>
      <xdr:col>0</xdr:col>
      <xdr:colOff>81643</xdr:colOff>
      <xdr:row>1</xdr:row>
      <xdr:rowOff>13608</xdr:rowOff>
    </xdr:from>
    <xdr:to>
      <xdr:col>2</xdr:col>
      <xdr:colOff>949796</xdr:colOff>
      <xdr:row>3</xdr:row>
      <xdr:rowOff>148795</xdr:rowOff>
    </xdr:to>
    <xdr:pic>
      <xdr:nvPicPr>
        <xdr:cNvPr id="5" name="Imagen 4">
          <a:extLst>
            <a:ext uri="{FF2B5EF4-FFF2-40B4-BE49-F238E27FC236}">
              <a16:creationId xmlns:a16="http://schemas.microsoft.com/office/drawing/2014/main" id="{184F22EB-A7F0-4AE0-8417-26636FB1F95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1643" y="217715"/>
          <a:ext cx="2555439" cy="543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295955</xdr:colOff>
      <xdr:row>27</xdr:row>
      <xdr:rowOff>52728</xdr:rowOff>
    </xdr:from>
    <xdr:to>
      <xdr:col>1</xdr:col>
      <xdr:colOff>813026</xdr:colOff>
      <xdr:row>29</xdr:row>
      <xdr:rowOff>71420</xdr:rowOff>
    </xdr:to>
    <xdr:pic>
      <xdr:nvPicPr>
        <xdr:cNvPr id="3" name="Imagen 2">
          <a:extLst>
            <a:ext uri="{FF2B5EF4-FFF2-40B4-BE49-F238E27FC236}">
              <a16:creationId xmlns:a16="http://schemas.microsoft.com/office/drawing/2014/main" id="{E26303B4-44BA-433F-BC62-689BD1C30C60}"/>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Lst>
        </a:blip>
        <a:srcRect l="26060" t="23895" r="26600" b="37331"/>
        <a:stretch>
          <a:fillRect/>
        </a:stretch>
      </xdr:blipFill>
      <xdr:spPr>
        <a:xfrm>
          <a:off x="1139598" y="5563621"/>
          <a:ext cx="517071" cy="426907"/>
        </a:xfrm>
        <a:prstGeom prst="rect">
          <a:avLst/>
        </a:prstGeom>
      </xdr:spPr>
    </xdr:pic>
    <xdr:clientData/>
  </xdr:twoCellAnchor>
  <xdr:twoCellAnchor>
    <xdr:from>
      <xdr:col>8</xdr:col>
      <xdr:colOff>704850</xdr:colOff>
      <xdr:row>0</xdr:row>
      <xdr:rowOff>76200</xdr:rowOff>
    </xdr:from>
    <xdr:to>
      <xdr:col>11</xdr:col>
      <xdr:colOff>653143</xdr:colOff>
      <xdr:row>3</xdr:row>
      <xdr:rowOff>156482</xdr:rowOff>
    </xdr:to>
    <xdr:sp macro="" textlink="">
      <xdr:nvSpPr>
        <xdr:cNvPr id="4" name="Rectángulo 3">
          <a:extLst>
            <a:ext uri="{FF2B5EF4-FFF2-40B4-BE49-F238E27FC236}">
              <a16:creationId xmlns:a16="http://schemas.microsoft.com/office/drawing/2014/main" id="{977E6930-B665-4BD4-9BD6-C624A46D73B5}"/>
            </a:ext>
          </a:extLst>
        </xdr:cNvPr>
        <xdr:cNvSpPr/>
      </xdr:nvSpPr>
      <xdr:spPr>
        <a:xfrm>
          <a:off x="6572250" y="76200"/>
          <a:ext cx="2462893" cy="680357"/>
        </a:xfrm>
        <a:prstGeom prst="rect">
          <a:avLst/>
        </a:prstGeom>
        <a:ln>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s-MX" sz="1100"/>
            <a:t>LOGO INSTITUCIONAL</a:t>
          </a:r>
        </a:p>
      </xdr:txBody>
    </xdr:sp>
    <xdr:clientData/>
  </xdr:twoCellAnchor>
  <xdr:twoCellAnchor editAs="oneCell">
    <xdr:from>
      <xdr:col>0</xdr:col>
      <xdr:colOff>13607</xdr:colOff>
      <xdr:row>1</xdr:row>
      <xdr:rowOff>0</xdr:rowOff>
    </xdr:from>
    <xdr:to>
      <xdr:col>3</xdr:col>
      <xdr:colOff>17706</xdr:colOff>
      <xdr:row>3</xdr:row>
      <xdr:rowOff>131786</xdr:rowOff>
    </xdr:to>
    <xdr:pic>
      <xdr:nvPicPr>
        <xdr:cNvPr id="5" name="Imagen 4">
          <a:extLst>
            <a:ext uri="{FF2B5EF4-FFF2-40B4-BE49-F238E27FC236}">
              <a16:creationId xmlns:a16="http://schemas.microsoft.com/office/drawing/2014/main" id="{AA8D3A5C-61AD-43EE-8D20-D601CE46C1B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607" y="204107"/>
          <a:ext cx="2535028" cy="54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214313</xdr:colOff>
      <xdr:row>26</xdr:row>
      <xdr:rowOff>11906</xdr:rowOff>
    </xdr:from>
    <xdr:to>
      <xdr:col>1</xdr:col>
      <xdr:colOff>731384</xdr:colOff>
      <xdr:row>28</xdr:row>
      <xdr:rowOff>30598</xdr:rowOff>
    </xdr:to>
    <xdr:pic>
      <xdr:nvPicPr>
        <xdr:cNvPr id="3" name="Imagen 2">
          <a:extLst>
            <a:ext uri="{FF2B5EF4-FFF2-40B4-BE49-F238E27FC236}">
              <a16:creationId xmlns:a16="http://schemas.microsoft.com/office/drawing/2014/main" id="{DA09324B-92C7-496F-AC1B-37E024989BBE}"/>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Lst>
        </a:blip>
        <a:srcRect l="26060" t="23895" r="26600" b="37331"/>
        <a:stretch>
          <a:fillRect/>
        </a:stretch>
      </xdr:blipFill>
      <xdr:spPr>
        <a:xfrm>
          <a:off x="1052513" y="5355431"/>
          <a:ext cx="517071" cy="418743"/>
        </a:xfrm>
        <a:prstGeom prst="rect">
          <a:avLst/>
        </a:prstGeom>
      </xdr:spPr>
    </xdr:pic>
    <xdr:clientData/>
  </xdr:twoCellAnchor>
  <xdr:twoCellAnchor>
    <xdr:from>
      <xdr:col>8</xdr:col>
      <xdr:colOff>704850</xdr:colOff>
      <xdr:row>0</xdr:row>
      <xdr:rowOff>76200</xdr:rowOff>
    </xdr:from>
    <xdr:to>
      <xdr:col>11</xdr:col>
      <xdr:colOff>653143</xdr:colOff>
      <xdr:row>3</xdr:row>
      <xdr:rowOff>156482</xdr:rowOff>
    </xdr:to>
    <xdr:sp macro="" textlink="">
      <xdr:nvSpPr>
        <xdr:cNvPr id="4" name="Rectángulo 3">
          <a:extLst>
            <a:ext uri="{FF2B5EF4-FFF2-40B4-BE49-F238E27FC236}">
              <a16:creationId xmlns:a16="http://schemas.microsoft.com/office/drawing/2014/main" id="{F1A01DC1-1D6A-4FDF-8D32-491C97026514}"/>
            </a:ext>
          </a:extLst>
        </xdr:cNvPr>
        <xdr:cNvSpPr/>
      </xdr:nvSpPr>
      <xdr:spPr>
        <a:xfrm>
          <a:off x="6734175" y="76200"/>
          <a:ext cx="2834368" cy="680357"/>
        </a:xfrm>
        <a:prstGeom prst="rect">
          <a:avLst/>
        </a:prstGeom>
        <a:ln>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s-MX" sz="1100"/>
            <a:t>LOGO INSTITUCIONAL</a:t>
          </a:r>
        </a:p>
      </xdr:txBody>
    </xdr:sp>
    <xdr:clientData/>
  </xdr:twoCellAnchor>
  <xdr:twoCellAnchor editAs="oneCell">
    <xdr:from>
      <xdr:col>0</xdr:col>
      <xdr:colOff>0</xdr:colOff>
      <xdr:row>0</xdr:row>
      <xdr:rowOff>190500</xdr:rowOff>
    </xdr:from>
    <xdr:to>
      <xdr:col>3</xdr:col>
      <xdr:colOff>4099</xdr:colOff>
      <xdr:row>3</xdr:row>
      <xdr:rowOff>118179</xdr:rowOff>
    </xdr:to>
    <xdr:pic>
      <xdr:nvPicPr>
        <xdr:cNvPr id="5" name="Imagen 4">
          <a:extLst>
            <a:ext uri="{FF2B5EF4-FFF2-40B4-BE49-F238E27FC236}">
              <a16:creationId xmlns:a16="http://schemas.microsoft.com/office/drawing/2014/main" id="{27F3098C-8C2E-4D4C-A3EB-9B364787869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0" y="190500"/>
          <a:ext cx="2535028" cy="54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8550301-6FDF-4F77-B6D6-C2572AC24459}" name="Tabla10" displayName="Tabla10" ref="A10:P19" totalsRowShown="0" headerRowDxfId="125" dataDxfId="124" tableBorderDxfId="123">
  <autoFilter ref="A10:P19" xr:uid="{88550301-6FDF-4F77-B6D6-C2572AC24459}"/>
  <tableColumns count="16">
    <tableColumn id="1" xr3:uid="{59F45CEC-F062-4C53-A886-E23DD1093163}" name="Columna1" dataDxfId="122"/>
    <tableColumn id="2" xr3:uid="{3C39DA2F-5949-4796-905A-852462636B10}" name="Columna2" dataDxfId="121"/>
    <tableColumn id="3" xr3:uid="{D96DD7BD-9F1D-472A-8E17-488E9C9C4799}" name="Columna3" dataDxfId="120"/>
    <tableColumn id="4" xr3:uid="{EE273DCE-6195-4FE3-8B17-826AFF65F789}" name="Columna4" dataDxfId="119"/>
    <tableColumn id="5" xr3:uid="{BD0CBBA5-AD2F-459E-8541-A275716CB9A8}" name="Columna5" dataDxfId="118"/>
    <tableColumn id="6" xr3:uid="{39AC42BB-78C6-4E26-A243-F901610098EC}" name="Columna6" dataDxfId="117"/>
    <tableColumn id="7" xr3:uid="{85BB9DD6-9890-4C32-B124-C92F0BD5A63A}" name="Columna7" dataDxfId="116"/>
    <tableColumn id="8" xr3:uid="{2B564566-ED19-4A8A-BC4D-564CD48B7237}" name="0" dataDxfId="115">
      <calculatedColumnFormula>F11*G11</calculatedColumnFormula>
    </tableColumn>
    <tableColumn id="9" xr3:uid="{7E0A7930-C94F-4006-825B-5B36A0E1C425}" name="Columna8" dataDxfId="114"/>
    <tableColumn id="10" xr3:uid="{63619492-75EE-45F7-BF85-CD96C5C5BBDA}" name="09" dataDxfId="113">
      <calculatedColumnFormula>H11*I11</calculatedColumnFormula>
    </tableColumn>
    <tableColumn id="11" xr3:uid="{EA57F855-90CB-4F2E-B739-A66D90742030}" name="Columna10" dataDxfId="112"/>
    <tableColumn id="12" xr3:uid="{E5AAB624-1C75-4886-96B2-BF18F9B70028}" name="Columna11" dataDxfId="111"/>
    <tableColumn id="13" xr3:uid="{83D7A9B5-A9ED-4941-A65A-308D138FFC95}" name="012" dataDxfId="110">
      <calculatedColumnFormula>K11+L11</calculatedColumnFormula>
    </tableColumn>
    <tableColumn id="14" xr3:uid="{F4C4272D-59BC-4C76-AB1E-3ADDB85D942F}" name="Columna13" dataDxfId="109"/>
    <tableColumn id="15" xr3:uid="{98304FEC-6F1D-4513-B7C3-E52EC1E0DE83}" name="014" dataDxfId="108">
      <calculatedColumnFormula>J11*M11*52/1000</calculatedColumnFormula>
    </tableColumn>
    <tableColumn id="16" xr3:uid="{602BC97F-67B5-4859-96FD-9C2EF92BE612}" name="Columna15" dataDxfId="10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8ED462C-BB35-4413-B2F6-F81F4C965566}" name="Tabla11" displayName="Tabla11" ref="A9:M20" totalsRowShown="0" headerRowDxfId="106" dataDxfId="104" headerRowBorderDxfId="105" tableBorderDxfId="103" totalsRowBorderDxfId="102">
  <autoFilter ref="A9:M20" xr:uid="{38ED462C-BB35-4413-B2F6-F81F4C965566}"/>
  <tableColumns count="13">
    <tableColumn id="1" xr3:uid="{B3B086CC-FBA2-4A97-8EC4-06F1BD77FBB1}" name="Columna1" dataDxfId="101"/>
    <tableColumn id="2" xr3:uid="{6F76987C-E009-4368-8CFC-A730E54ABD98}" name="Columna2" dataDxfId="100"/>
    <tableColumn id="3" xr3:uid="{ECCEEA9A-CFC5-417B-9341-E3C72459A04D}" name="Columna3" dataDxfId="99"/>
    <tableColumn id="4" xr3:uid="{3897A37E-94F8-4DB9-BEB4-13A2302E80C2}" name="Columna4" dataDxfId="98"/>
    <tableColumn id="5" xr3:uid="{41DB5D47-96DE-47B9-B361-D350FB75AA0E}" name="Columna5" dataDxfId="97"/>
    <tableColumn id="6" xr3:uid="{1A358C2F-F5A0-408B-8470-8587189EDD03}" name="Columna6" dataDxfId="96"/>
    <tableColumn id="7" xr3:uid="{81BDB784-8FFB-4011-ACFE-FECEBBF2BDDE}" name="Columna7" dataDxfId="95"/>
    <tableColumn id="8" xr3:uid="{A6470E6B-F2F6-40F1-97F7-5314AB117DCB}" name="Columna8" dataDxfId="94"/>
    <tableColumn id="9" xr3:uid="{6E68CBEC-98D1-4A8F-8E1A-217075BA627B}" name="0.00" dataDxfId="93">
      <calculatedColumnFormula>F10*H10</calculatedColumnFormula>
    </tableColumn>
    <tableColumn id="10" xr3:uid="{8D818E8B-D289-47E2-90E3-034939C93268}" name="Columna9" dataDxfId="92"/>
    <tableColumn id="11" xr3:uid="{43A2F420-2154-4D6F-B5DA-D7ECD2001E9F}" name="Columna10" dataDxfId="91"/>
    <tableColumn id="12" xr3:uid="{84484DDE-47E0-456A-B56A-9E0E205375AC}" name="0" dataDxfId="90">
      <calculatedColumnFormula>-J10+K10</calculatedColumnFormula>
    </tableColumn>
    <tableColumn id="13" xr3:uid="{5748F98A-FDFC-4330-AF1A-FD01A6C3714F}" name="0.0011" dataDxfId="89">
      <calculatedColumnFormula>I10*L10*52/1000</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811B49C-47AB-4BFE-A6DD-54E59670ABDA}" name="Tabla12" displayName="Tabla12" ref="A10:P13" totalsRowShown="0" headerRowDxfId="88" dataDxfId="86" headerRowBorderDxfId="87" tableBorderDxfId="85">
  <autoFilter ref="A10:P13" xr:uid="{7811B49C-47AB-4BFE-A6DD-54E59670ABDA}"/>
  <tableColumns count="16">
    <tableColumn id="1" xr3:uid="{D95B872F-54A1-427B-A784-422207E1DEE9}" name="Columna1" dataDxfId="84"/>
    <tableColumn id="2" xr3:uid="{557AD193-59A4-430F-B26C-DE9CA561ABB5}" name="Columna2" dataDxfId="83"/>
    <tableColumn id="3" xr3:uid="{54CB355B-D5B0-4AE6-B64E-4B633BBADF7C}" name="Columna3" dataDxfId="82"/>
    <tableColumn id="4" xr3:uid="{51323ABF-62E4-4870-A6DA-E6A8149F8EB4}" name="Columna4" dataDxfId="81"/>
    <tableColumn id="5" xr3:uid="{D776AFB6-CB31-440B-8CD3-FF164D0C9E6D}" name="Columna5" dataDxfId="80"/>
    <tableColumn id="6" xr3:uid="{03DE5A16-6F11-4BEE-AE75-A8CC2474D4C4}" name="Columna6" dataDxfId="79"/>
    <tableColumn id="7" xr3:uid="{4EDC124F-3D53-44E3-B780-0CE08C9915D1}" name="Columna7" dataDxfId="78" dataCellStyle="Porcentaje"/>
    <tableColumn id="8" xr3:uid="{13A5A879-1381-46DC-9A09-D346F650F6D9}" name="Columna8" dataDxfId="77"/>
    <tableColumn id="9" xr3:uid="{B92697B6-9876-4424-AD20-0A3A95FB0B09}" name="0.00" dataDxfId="76">
      <calculatedColumnFormula>H11*F11</calculatedColumnFormula>
    </tableColumn>
    <tableColumn id="10" xr3:uid="{89A918DB-2C65-48D0-86E7-AA38056EB13C}" name="Columna9" dataDxfId="75"/>
    <tableColumn id="11" xr3:uid="{57FFBF29-8054-45DA-B119-D059F71E8ECE}" name="Columna10" dataDxfId="74"/>
    <tableColumn id="12" xr3:uid="{70BFF79C-2AB2-4D98-B4D0-E10A6B130366}" name="Columna11" dataDxfId="73"/>
    <tableColumn id="13" xr3:uid="{1CC105BA-F7D1-4524-82D0-8B8D7CC83B6B}" name="0" dataDxfId="72">
      <calculatedColumnFormula>K11+L11</calculatedColumnFormula>
    </tableColumn>
    <tableColumn id="14" xr3:uid="{56C83761-4DBD-4E74-855D-BE69FD44B957}" name="012" dataDxfId="71">
      <calculatedColumnFormula>I11*M11*52/1000</calculatedColumnFormula>
    </tableColumn>
    <tableColumn id="15" xr3:uid="{7290BC1F-49D9-4186-8B62-624166B8FEDE}" name="Columna13" dataDxfId="70"/>
    <tableColumn id="16" xr3:uid="{2ABE9BD2-6C59-442A-8D14-AA342E47C9C1}" name="Columna14" dataDxfId="6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6879D93-06ED-4392-9346-68CBD1E88E1D}" name="Tabla13" displayName="Tabla13" ref="A9:P18" totalsRowShown="0" headerRowDxfId="68" tableBorderDxfId="67">
  <autoFilter ref="A9:P18" xr:uid="{86879D93-06ED-4392-9346-68CBD1E88E1D}"/>
  <tableColumns count="16">
    <tableColumn id="1" xr3:uid="{631CAFA0-DE17-4857-89B9-8DB0B2D64D7E}" name="Columna1" dataDxfId="66" dataCellStyle="Normal 2"/>
    <tableColumn id="2" xr3:uid="{970EDDE7-99CC-48D5-964C-8E01FF69A0F0}" name="Columna2" dataDxfId="65" dataCellStyle="Normal 2"/>
    <tableColumn id="3" xr3:uid="{8B9B582D-93E5-4AF8-86F2-AF819FFA5B8A}" name="Columna3" dataDxfId="64" dataCellStyle="Normal 2"/>
    <tableColumn id="4" xr3:uid="{F01534C5-CF6F-4602-AC0A-7CC308A82C53}" name="Columna4" dataDxfId="63" dataCellStyle="Normal 2"/>
    <tableColumn id="5" xr3:uid="{1BDC4FF1-DAC3-4F1A-A117-373BEA32352E}" name="Columna5" dataDxfId="62" dataCellStyle="Normal 2"/>
    <tableColumn id="6" xr3:uid="{A0ABD45B-88E2-4FB7-9409-3B0C9B81C838}" name="Columna6" dataDxfId="61" dataCellStyle="Normal 2"/>
    <tableColumn id="7" xr3:uid="{18818D44-17C6-404F-B235-C7273E3DAD2C}" name="Columna7" dataDxfId="60" dataCellStyle="Normal 2"/>
    <tableColumn id="8" xr3:uid="{38974D90-A5A7-48C1-A84C-5A331159DBA0}" name="Columna8" dataDxfId="59" dataCellStyle="Normal 2"/>
    <tableColumn id="9" xr3:uid="{BAD8E9EF-AC87-490A-825F-B5E17A6DC70C}" name="Columna9" dataDxfId="58" dataCellStyle="Normal 2"/>
    <tableColumn id="10" xr3:uid="{F16356A5-AB16-48B4-AC6B-B718A47A6EBD}" name="Columna10" dataDxfId="57" dataCellStyle="Normal 2"/>
    <tableColumn id="11" xr3:uid="{02592716-ED31-4A8F-BB37-4B6FA7200778}" name="0.0" dataDxfId="56" dataCellStyle="Normal 2">
      <calculatedColumnFormula>F10*J10</calculatedColumnFormula>
    </tableColumn>
    <tableColumn id="12" xr3:uid="{80F3C29D-5989-4E3F-8932-13CE99F9709D}" name="Columna11" dataDxfId="55" dataCellStyle="Normal 2"/>
    <tableColumn id="13" xr3:uid="{34234922-463C-45ED-8471-AC3221B8C123}" name="Columna12" dataDxfId="54" dataCellStyle="Normal 2"/>
    <tableColumn id="14" xr3:uid="{E6176D62-8120-4265-995F-4FBEAAF19FAA}" name="0" dataDxfId="53">
      <calculatedColumnFormula>L10+M10</calculatedColumnFormula>
    </tableColumn>
    <tableColumn id="15" xr3:uid="{5F5E42FD-E4C8-4C5C-8C89-5FA0931047C1}" name="Columna13" dataDxfId="52" dataCellStyle="Normal 2"/>
    <tableColumn id="16" xr3:uid="{76733F43-8516-45A9-A22F-36062628849A}" name="014" dataDxfId="51" dataCellStyle="Normal 2">
      <calculatedColumnFormula>K10*N10*52/1000</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F72B2C7-51BB-4BF9-AC1C-F772D4E65B9A}" name="Tabla14" displayName="Tabla14" ref="A10:L19" totalsRowShown="0" headerRowDxfId="50" dataDxfId="48" headerRowBorderDxfId="49" tableBorderDxfId="47" totalsRowBorderDxfId="46">
  <autoFilter ref="A10:L19" xr:uid="{6F72B2C7-51BB-4BF9-AC1C-F772D4E65B9A}"/>
  <tableColumns count="12">
    <tableColumn id="1" xr3:uid="{39DB8468-18F8-4E4F-A7F8-FC8492B2E2F9}" name="Columna1" dataDxfId="45"/>
    <tableColumn id="2" xr3:uid="{CFA60240-C349-42E4-A7DD-602162D2720D}" name="Columna2" dataDxfId="44"/>
    <tableColumn id="3" xr3:uid="{CE38CB97-B287-4850-9570-2B7509B60571}" name="Columna3" dataDxfId="43"/>
    <tableColumn id="4" xr3:uid="{2479DF27-BE7E-4A1D-B74B-487355EB6412}" name="Columna4" dataDxfId="42"/>
    <tableColumn id="5" xr3:uid="{8958DD15-EDEA-4F66-B401-CF3C9F999414}" name="Columna5" dataDxfId="41"/>
    <tableColumn id="6" xr3:uid="{FF3A7442-C782-47B1-838C-E89FB39341FB}" name="Columna6" dataDxfId="40"/>
    <tableColumn id="7" xr3:uid="{BD722E30-8AE5-4012-86CC-65ED9C86CAD4}" name="Columna7" dataDxfId="39"/>
    <tableColumn id="8" xr3:uid="{21AD2FC5-57A7-429D-9B5D-4A861D4369CF}" name="0.00" dataDxfId="38">
      <calculatedColumnFormula>F11*G11</calculatedColumnFormula>
    </tableColumn>
    <tableColumn id="9" xr3:uid="{6A11C74F-6885-40B4-BD1D-499EC0A6598C}" name="Columna8" dataDxfId="37"/>
    <tableColumn id="10" xr3:uid="{32AE10E6-1738-49FA-84F5-C6677A2315C2}" name="Columna9" dataDxfId="36"/>
    <tableColumn id="11" xr3:uid="{FD0BDEEC-E187-425A-9C5B-6FDE695EF697}" name="0" dataDxfId="35">
      <calculatedColumnFormula>I11+J11</calculatedColumnFormula>
    </tableColumn>
    <tableColumn id="12" xr3:uid="{1A5E56CE-874B-4B84-85B6-95E027C9FAAF}" name="0.0010" dataDxfId="34">
      <calculatedColumnFormula>H11*K11*52/1000</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4239647-7056-4B3F-B8EE-04AB444CB5FC}" name="Tabla15" displayName="Tabla15" ref="A10:L22" totalsRowShown="0" headerRowDxfId="33" dataDxfId="31" headerRowBorderDxfId="32" tableBorderDxfId="30" totalsRowBorderDxfId="29">
  <autoFilter ref="A10:L22" xr:uid="{84239647-7056-4B3F-B8EE-04AB444CB5FC}"/>
  <tableColumns count="12">
    <tableColumn id="1" xr3:uid="{EB39A643-EEF0-4609-BF32-A6329C262FB3}" name="Columna1" dataDxfId="28"/>
    <tableColumn id="2" xr3:uid="{069CA5EB-6856-4377-A0D7-0576515A4F76}" name="Columna2" dataDxfId="27"/>
    <tableColumn id="3" xr3:uid="{6A6FBAAE-10BB-4C84-AB95-806A318C128E}" name="Columna3" dataDxfId="26"/>
    <tableColumn id="4" xr3:uid="{0ADF8D16-4F8A-4937-8F07-06B12F90B2B9}" name="Columna4" dataDxfId="25"/>
    <tableColumn id="5" xr3:uid="{760AC70E-465C-4FE6-A332-666C78A37988}" name="Columna5" dataDxfId="24"/>
    <tableColumn id="6" xr3:uid="{F50B536E-626D-496C-9189-4B5B05B9DEDD}" name="Columna6" dataDxfId="23"/>
    <tableColumn id="7" xr3:uid="{7A0DF590-2266-4A3F-87B3-EE05A355570D}" name="Columna7" dataDxfId="22"/>
    <tableColumn id="8" xr3:uid="{00805462-2D00-4C23-8ECC-3959226699C9}" name="0.00" dataDxfId="21">
      <calculatedColumnFormula>F11*G11</calculatedColumnFormula>
    </tableColumn>
    <tableColumn id="9" xr3:uid="{B4678B8C-6582-4B3A-BF91-4F54A90B3DD1}" name="Columna8" dataDxfId="20"/>
    <tableColumn id="10" xr3:uid="{6646E920-7310-4A48-AFE3-5FD5F19662A2}" name="Columna9" dataDxfId="19"/>
    <tableColumn id="11" xr3:uid="{FAE50A39-7B84-4214-9080-2A604DAC210A}" name="0" dataDxfId="18">
      <calculatedColumnFormula>I11+J11</calculatedColumnFormula>
    </tableColumn>
    <tableColumn id="12" xr3:uid="{FCE1B19B-710B-41BC-BE45-D70C48695592}" name="0.0010" dataDxfId="17">
      <calculatedColumnFormula>H11*K11*52/1000</calculatedColumnFormula>
    </tableColumn>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0882BE2-889D-4BD7-A279-0626F9623B33}" name="Tabla16" displayName="Tabla16" ref="A10:L22" totalsRowShown="0" headerRowDxfId="16" dataDxfId="14" headerRowBorderDxfId="15" tableBorderDxfId="13" totalsRowBorderDxfId="12">
  <autoFilter ref="A10:L22" xr:uid="{30882BE2-889D-4BD7-A279-0626F9623B33}"/>
  <tableColumns count="12">
    <tableColumn id="1" xr3:uid="{000CDC40-608B-4246-8D66-C91F4F68EB75}" name="Columna1" dataDxfId="11"/>
    <tableColumn id="2" xr3:uid="{95B67FE7-2176-4704-8235-88B3F5EDFA89}" name="Columna2" dataDxfId="10"/>
    <tableColumn id="3" xr3:uid="{AA1AB6C2-3168-4F1E-9ACB-37A0F8C5DC36}" name="Columna3" dataDxfId="9"/>
    <tableColumn id="4" xr3:uid="{97E0D38E-3EE9-408C-B135-697F581DAF7A}" name="Columna4" dataDxfId="8"/>
    <tableColumn id="5" xr3:uid="{08B9EE62-2485-4E58-B0F0-875AC2B636A9}" name="Columna5" dataDxfId="7"/>
    <tableColumn id="6" xr3:uid="{6122767F-7E67-4349-89FE-60E21E4B2B49}" name="Columna6" dataDxfId="6"/>
    <tableColumn id="7" xr3:uid="{93199BDE-11AD-402F-A7F1-B7AA331A4D7A}" name="Columna7" dataDxfId="5"/>
    <tableColumn id="8" xr3:uid="{E895446B-D84D-45F2-B237-D6120AF62A70}" name="0.00" dataDxfId="4">
      <calculatedColumnFormula>F11*G11</calculatedColumnFormula>
    </tableColumn>
    <tableColumn id="9" xr3:uid="{860F51FE-0B70-466D-A021-8BAF24406B5A}" name="Columna8" dataDxfId="3"/>
    <tableColumn id="10" xr3:uid="{4CE4D6D7-EE07-4F3B-90AF-9F6BAFF02265}" name="Columna9" dataDxfId="2"/>
    <tableColumn id="11" xr3:uid="{DCE4A9EA-2E6E-4E55-BB97-8C85F365CB99}" name="0" dataDxfId="1">
      <calculatedColumnFormula>I11+J11</calculatedColumnFormula>
    </tableColumn>
    <tableColumn id="12" xr3:uid="{A053ABE4-F27D-43B7-8599-344CF689C6D6}" name="0.0010" dataDxfId="0">
      <calculatedColumnFormula>H11*K11*52/1000</calculatedColumnFormula>
    </tableColumn>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A1F1EFD-9668-4355-AC57-95E59387117F}" name="Tabla17" displayName="Tabla17" ref="A10:L22" totalsRowShown="0" headerRowDxfId="142" dataDxfId="140" headerRowBorderDxfId="141" tableBorderDxfId="139" totalsRowBorderDxfId="138">
  <autoFilter ref="A10:L22" xr:uid="{6A1F1EFD-9668-4355-AC57-95E59387117F}"/>
  <tableColumns count="12">
    <tableColumn id="1" xr3:uid="{C485DF15-9652-444E-8324-F0F6CBE59BEB}" name="Columna1" dataDxfId="137"/>
    <tableColumn id="2" xr3:uid="{561546CF-87B2-4BDB-9AE3-3154C921D48C}" name="Columna2" dataDxfId="136"/>
    <tableColumn id="3" xr3:uid="{B13F19B1-9316-4606-B975-7E3817BBA7EC}" name="Columna3" dataDxfId="135"/>
    <tableColumn id="4" xr3:uid="{9A7EF647-0FD0-4472-BFD8-4BF5BD5BABAC}" name="Columna4" dataDxfId="134"/>
    <tableColumn id="5" xr3:uid="{EEDF62BF-48CE-47F4-B2D8-9279349DCBE9}" name="Columna5" dataDxfId="133"/>
    <tableColumn id="6" xr3:uid="{93A1334E-AF61-4676-83D3-C226930EAD93}" name="Columna6" dataDxfId="132"/>
    <tableColumn id="7" xr3:uid="{FB2FE75D-7E8C-4D1A-B360-2D4BFC5FADBD}" name="Columna7" dataDxfId="131"/>
    <tableColumn id="8" xr3:uid="{FC3397A6-7E0C-4AEB-B600-B25852746BE0}" name="0.00" dataDxfId="130">
      <calculatedColumnFormula>F11*G11</calculatedColumnFormula>
    </tableColumn>
    <tableColumn id="9" xr3:uid="{42FF3310-F6D5-4AA7-986F-EF3197A002C9}" name="Columna8" dataDxfId="129"/>
    <tableColumn id="10" xr3:uid="{08FA5624-AC57-4C93-9D8D-7A566F01CE4B}" name="Columna9" dataDxfId="128"/>
    <tableColumn id="11" xr3:uid="{615518DA-5DC4-4145-AA7D-7C881D56E51D}" name="0" dataDxfId="127">
      <calculatedColumnFormula>I11+J11</calculatedColumnFormula>
    </tableColumn>
    <tableColumn id="12" xr3:uid="{602DC9C5-F330-4202-BD6F-9826F4F6B533}" name="0.0010" dataDxfId="126">
      <calculatedColumnFormula>H11*K11*52/1000</calculatedColumnFormula>
    </tableColumn>
  </tableColumns>
  <tableStyleInfo showFirstColumn="0" showLastColumn="0" showRowStripes="1" showColumnStripes="1"/>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53"/>
  <sheetViews>
    <sheetView topLeftCell="A4" zoomScale="70" zoomScaleNormal="70" workbookViewId="0">
      <selection activeCell="A19" sqref="A19:XFD19"/>
    </sheetView>
  </sheetViews>
  <sheetFormatPr baseColWidth="10" defaultRowHeight="15.75" x14ac:dyDescent="0.25"/>
  <cols>
    <col min="1" max="1" width="10.5" style="7" customWidth="1"/>
    <col min="2" max="2" width="10.875" style="7" customWidth="1"/>
    <col min="3" max="3" width="20.375" style="7" customWidth="1"/>
    <col min="4" max="4" width="14.625" style="15" customWidth="1"/>
    <col min="5" max="5" width="23.375" style="15" customWidth="1"/>
    <col min="6" max="6" width="11" style="7"/>
    <col min="7" max="7" width="12" style="7" customWidth="1"/>
    <col min="8" max="8" width="13.5" style="7" customWidth="1"/>
    <col min="9" max="10" width="11" style="7"/>
    <col min="11" max="11" width="14.125" style="7" customWidth="1"/>
    <col min="12" max="12" width="11.25" style="7" customWidth="1"/>
    <col min="13" max="13" width="9.75" style="7" customWidth="1"/>
    <col min="14" max="14" width="11.625" style="7" customWidth="1"/>
    <col min="15" max="15" width="11.875" style="7" customWidth="1"/>
    <col min="16" max="16" width="19" style="15" customWidth="1"/>
    <col min="17" max="16384" width="11" style="7"/>
  </cols>
  <sheetData>
    <row r="1" spans="1:16" x14ac:dyDescent="0.25">
      <c r="A1" s="117"/>
      <c r="B1" s="117"/>
      <c r="C1" s="117"/>
      <c r="D1" s="118"/>
      <c r="E1" s="118"/>
      <c r="F1" s="117"/>
      <c r="G1" s="117"/>
      <c r="H1" s="117"/>
      <c r="I1" s="117"/>
      <c r="J1" s="117"/>
      <c r="K1" s="117"/>
      <c r="L1" s="117"/>
      <c r="M1" s="117"/>
      <c r="N1" s="117"/>
      <c r="O1" s="117"/>
      <c r="P1" s="118"/>
    </row>
    <row r="2" spans="1:16" x14ac:dyDescent="0.25">
      <c r="A2" s="117"/>
      <c r="B2" s="117"/>
      <c r="C2" s="117"/>
      <c r="D2" s="118"/>
      <c r="E2" s="118"/>
      <c r="F2" s="117"/>
      <c r="G2" s="117"/>
      <c r="H2" s="117"/>
      <c r="I2" s="117"/>
      <c r="J2" s="117"/>
      <c r="K2" s="117"/>
      <c r="L2" s="117"/>
      <c r="M2" s="117"/>
      <c r="N2" s="117"/>
      <c r="O2" s="117"/>
      <c r="P2" s="118"/>
    </row>
    <row r="3" spans="1:16" x14ac:dyDescent="0.25">
      <c r="A3" s="117"/>
      <c r="B3" s="117"/>
      <c r="C3" s="117"/>
      <c r="D3" s="118"/>
      <c r="E3" s="118"/>
      <c r="F3" s="117"/>
      <c r="G3" s="117"/>
      <c r="H3" s="117"/>
      <c r="I3" s="117"/>
      <c r="J3" s="117"/>
      <c r="K3" s="117"/>
      <c r="L3" s="117"/>
      <c r="M3" s="117"/>
      <c r="N3" s="117"/>
      <c r="O3" s="117"/>
      <c r="P3" s="118"/>
    </row>
    <row r="4" spans="1:16" x14ac:dyDescent="0.25">
      <c r="A4" s="117"/>
      <c r="B4" s="117"/>
      <c r="C4" s="117"/>
      <c r="D4" s="118"/>
      <c r="E4" s="118"/>
      <c r="F4" s="117"/>
      <c r="G4" s="117"/>
      <c r="H4" s="117"/>
      <c r="I4" s="117"/>
      <c r="J4" s="117"/>
      <c r="K4" s="117"/>
      <c r="L4" s="117"/>
      <c r="M4" s="117"/>
      <c r="N4" s="117"/>
      <c r="O4" s="117"/>
      <c r="P4" s="118"/>
    </row>
    <row r="5" spans="1:16" x14ac:dyDescent="0.25">
      <c r="A5" s="117"/>
      <c r="B5" s="117"/>
      <c r="C5" s="117"/>
      <c r="D5" s="118"/>
      <c r="E5" s="118"/>
      <c r="F5" s="117"/>
      <c r="G5" s="117"/>
      <c r="H5" s="117"/>
      <c r="I5" s="117"/>
      <c r="J5" s="117"/>
      <c r="K5" s="117"/>
      <c r="L5" s="117"/>
      <c r="M5" s="117"/>
      <c r="N5" s="117"/>
      <c r="O5" s="117"/>
      <c r="P5" s="118"/>
    </row>
    <row r="6" spans="1:16" ht="15.75" customHeight="1" x14ac:dyDescent="0.25">
      <c r="A6" s="111" t="s">
        <v>28</v>
      </c>
      <c r="B6" s="112"/>
      <c r="C6" s="112"/>
      <c r="D6" s="112"/>
      <c r="E6" s="112"/>
      <c r="F6" s="112"/>
      <c r="G6" s="112"/>
      <c r="H6" s="112"/>
      <c r="I6" s="112"/>
      <c r="J6" s="112"/>
      <c r="K6" s="112"/>
      <c r="L6" s="112"/>
      <c r="M6" s="112"/>
      <c r="N6" s="112"/>
      <c r="O6" s="112"/>
      <c r="P6" s="113"/>
    </row>
    <row r="7" spans="1:16" x14ac:dyDescent="0.25">
      <c r="A7" s="114"/>
      <c r="B7" s="115"/>
      <c r="C7" s="115"/>
      <c r="D7" s="115"/>
      <c r="E7" s="115"/>
      <c r="F7" s="115"/>
      <c r="G7" s="115"/>
      <c r="H7" s="115"/>
      <c r="I7" s="115"/>
      <c r="J7" s="115"/>
      <c r="K7" s="115"/>
      <c r="L7" s="115"/>
      <c r="M7" s="115"/>
      <c r="N7" s="115"/>
      <c r="O7" s="115"/>
      <c r="P7" s="116"/>
    </row>
    <row r="8" spans="1:16" ht="41.25" customHeight="1" x14ac:dyDescent="0.25">
      <c r="A8" s="112" t="s">
        <v>0</v>
      </c>
      <c r="B8" s="112" t="s">
        <v>1</v>
      </c>
      <c r="C8" s="112" t="s">
        <v>38</v>
      </c>
      <c r="D8" s="112" t="s">
        <v>39</v>
      </c>
      <c r="E8" s="112" t="s">
        <v>13</v>
      </c>
      <c r="F8" s="112" t="s">
        <v>15</v>
      </c>
      <c r="G8" s="112" t="s">
        <v>2</v>
      </c>
      <c r="H8" s="112" t="s">
        <v>40</v>
      </c>
      <c r="I8" s="112" t="s">
        <v>41</v>
      </c>
      <c r="J8" s="112" t="s">
        <v>61</v>
      </c>
      <c r="K8" s="112" t="s">
        <v>3</v>
      </c>
      <c r="L8" s="112" t="s">
        <v>4</v>
      </c>
      <c r="M8" s="112" t="s">
        <v>5</v>
      </c>
      <c r="N8" s="112" t="s">
        <v>42</v>
      </c>
      <c r="O8" s="112" t="s">
        <v>16</v>
      </c>
      <c r="P8" s="112" t="s">
        <v>7</v>
      </c>
    </row>
    <row r="9" spans="1:16" ht="31.5" customHeight="1" x14ac:dyDescent="0.25">
      <c r="A9" s="119"/>
      <c r="B9" s="119"/>
      <c r="C9" s="120"/>
      <c r="D9" s="119"/>
      <c r="E9" s="119"/>
      <c r="F9" s="119"/>
      <c r="G9" s="119"/>
      <c r="H9" s="119"/>
      <c r="I9" s="115"/>
      <c r="J9" s="119"/>
      <c r="K9" s="119"/>
      <c r="L9" s="119"/>
      <c r="M9" s="119"/>
      <c r="N9" s="115"/>
      <c r="O9" s="119"/>
      <c r="P9" s="119"/>
    </row>
    <row r="10" spans="1:16" customFormat="1" x14ac:dyDescent="0.25">
      <c r="A10" s="8" t="s">
        <v>63</v>
      </c>
      <c r="B10" s="9" t="s">
        <v>64</v>
      </c>
      <c r="C10" s="10" t="s">
        <v>65</v>
      </c>
      <c r="D10" s="11" t="s">
        <v>66</v>
      </c>
      <c r="E10" s="12" t="s">
        <v>67</v>
      </c>
      <c r="F10" s="12" t="s">
        <v>68</v>
      </c>
      <c r="G10" s="12" t="s">
        <v>69</v>
      </c>
      <c r="H10" s="12" t="s">
        <v>70</v>
      </c>
      <c r="I10" s="12" t="s">
        <v>71</v>
      </c>
      <c r="J10" s="12" t="s">
        <v>72</v>
      </c>
      <c r="K10" s="12" t="s">
        <v>73</v>
      </c>
      <c r="L10" s="12" t="s">
        <v>74</v>
      </c>
      <c r="M10" s="12" t="s">
        <v>75</v>
      </c>
      <c r="N10" s="12" t="s">
        <v>76</v>
      </c>
      <c r="O10" s="12" t="s">
        <v>77</v>
      </c>
      <c r="P10" s="13" t="s">
        <v>78</v>
      </c>
    </row>
    <row r="11" spans="1:16" x14ac:dyDescent="0.25">
      <c r="A11" s="1"/>
      <c r="B11" s="2"/>
      <c r="C11" s="3"/>
      <c r="D11" s="4"/>
      <c r="E11" s="5"/>
      <c r="F11" s="5"/>
      <c r="G11" s="5"/>
      <c r="H11" s="14">
        <f t="shared" ref="H11:H19" si="0">F11*G11</f>
        <v>0</v>
      </c>
      <c r="I11" s="5"/>
      <c r="J11" s="14">
        <f t="shared" ref="J11:J19" si="1">H11*I11</f>
        <v>0</v>
      </c>
      <c r="K11" s="5"/>
      <c r="L11" s="5"/>
      <c r="M11" s="14">
        <f t="shared" ref="M11:M19" si="2">K11+L11</f>
        <v>0</v>
      </c>
      <c r="N11" s="5"/>
      <c r="O11" s="14">
        <f t="shared" ref="O11:O19" si="3">J11*M11*52/1000</f>
        <v>0</v>
      </c>
      <c r="P11" s="6"/>
    </row>
    <row r="12" spans="1:16" x14ac:dyDescent="0.25">
      <c r="A12" s="1"/>
      <c r="B12" s="2"/>
      <c r="C12" s="3"/>
      <c r="D12" s="4"/>
      <c r="E12" s="5"/>
      <c r="F12" s="5"/>
      <c r="G12" s="5"/>
      <c r="H12" s="14">
        <f t="shared" si="0"/>
        <v>0</v>
      </c>
      <c r="I12" s="5"/>
      <c r="J12" s="14">
        <f t="shared" si="1"/>
        <v>0</v>
      </c>
      <c r="K12" s="5"/>
      <c r="L12" s="5"/>
      <c r="M12" s="14">
        <f t="shared" si="2"/>
        <v>0</v>
      </c>
      <c r="N12" s="5"/>
      <c r="O12" s="14">
        <f t="shared" si="3"/>
        <v>0</v>
      </c>
      <c r="P12" s="6"/>
    </row>
    <row r="13" spans="1:16" x14ac:dyDescent="0.25">
      <c r="A13" s="1"/>
      <c r="B13" s="2"/>
      <c r="C13" s="3"/>
      <c r="D13" s="4"/>
      <c r="E13" s="5"/>
      <c r="F13" s="5"/>
      <c r="G13" s="5"/>
      <c r="H13" s="14">
        <f t="shared" si="0"/>
        <v>0</v>
      </c>
      <c r="I13" s="5"/>
      <c r="J13" s="14">
        <f t="shared" si="1"/>
        <v>0</v>
      </c>
      <c r="K13" s="5"/>
      <c r="L13" s="5"/>
      <c r="M13" s="14">
        <f t="shared" si="2"/>
        <v>0</v>
      </c>
      <c r="N13" s="5"/>
      <c r="O13" s="14">
        <f t="shared" si="3"/>
        <v>0</v>
      </c>
      <c r="P13" s="6"/>
    </row>
    <row r="14" spans="1:16" x14ac:dyDescent="0.25">
      <c r="A14" s="1"/>
      <c r="B14" s="2"/>
      <c r="C14" s="3"/>
      <c r="D14" s="4"/>
      <c r="E14" s="5"/>
      <c r="F14" s="5"/>
      <c r="G14" s="5"/>
      <c r="H14" s="14">
        <f t="shared" si="0"/>
        <v>0</v>
      </c>
      <c r="I14" s="5"/>
      <c r="J14" s="14">
        <f t="shared" si="1"/>
        <v>0</v>
      </c>
      <c r="K14" s="5"/>
      <c r="L14" s="5"/>
      <c r="M14" s="14">
        <f t="shared" si="2"/>
        <v>0</v>
      </c>
      <c r="N14" s="5"/>
      <c r="O14" s="14">
        <f t="shared" si="3"/>
        <v>0</v>
      </c>
      <c r="P14" s="6"/>
    </row>
    <row r="15" spans="1:16" x14ac:dyDescent="0.25">
      <c r="A15" s="1"/>
      <c r="B15" s="2"/>
      <c r="C15" s="3"/>
      <c r="D15" s="4"/>
      <c r="E15" s="5"/>
      <c r="F15" s="5"/>
      <c r="G15" s="5"/>
      <c r="H15" s="14">
        <f t="shared" si="0"/>
        <v>0</v>
      </c>
      <c r="I15" s="5"/>
      <c r="J15" s="14">
        <f t="shared" si="1"/>
        <v>0</v>
      </c>
      <c r="K15" s="5"/>
      <c r="L15" s="5"/>
      <c r="M15" s="14">
        <f t="shared" si="2"/>
        <v>0</v>
      </c>
      <c r="N15" s="5"/>
      <c r="O15" s="14">
        <f t="shared" si="3"/>
        <v>0</v>
      </c>
      <c r="P15" s="6"/>
    </row>
    <row r="16" spans="1:16" x14ac:dyDescent="0.25">
      <c r="A16" s="1"/>
      <c r="B16" s="2"/>
      <c r="C16" s="3"/>
      <c r="D16" s="4"/>
      <c r="E16" s="5"/>
      <c r="F16" s="5"/>
      <c r="G16" s="5"/>
      <c r="H16" s="14">
        <f t="shared" si="0"/>
        <v>0</v>
      </c>
      <c r="I16" s="5"/>
      <c r="J16" s="14">
        <f t="shared" si="1"/>
        <v>0</v>
      </c>
      <c r="K16" s="5"/>
      <c r="L16" s="5"/>
      <c r="M16" s="14">
        <f t="shared" si="2"/>
        <v>0</v>
      </c>
      <c r="N16" s="5"/>
      <c r="O16" s="14">
        <f t="shared" si="3"/>
        <v>0</v>
      </c>
      <c r="P16" s="6"/>
    </row>
    <row r="17" spans="1:16" x14ac:dyDescent="0.25">
      <c r="A17" s="1"/>
      <c r="B17" s="2"/>
      <c r="C17" s="3"/>
      <c r="D17" s="4"/>
      <c r="E17" s="5"/>
      <c r="F17" s="5"/>
      <c r="G17" s="5"/>
      <c r="H17" s="14">
        <f t="shared" si="0"/>
        <v>0</v>
      </c>
      <c r="I17" s="5"/>
      <c r="J17" s="14">
        <f t="shared" si="1"/>
        <v>0</v>
      </c>
      <c r="K17" s="5"/>
      <c r="L17" s="5"/>
      <c r="M17" s="14">
        <f t="shared" si="2"/>
        <v>0</v>
      </c>
      <c r="N17" s="5"/>
      <c r="O17" s="14">
        <f t="shared" si="3"/>
        <v>0</v>
      </c>
      <c r="P17" s="6"/>
    </row>
    <row r="18" spans="1:16" x14ac:dyDescent="0.25">
      <c r="A18" s="1"/>
      <c r="B18" s="2"/>
      <c r="C18" s="3"/>
      <c r="D18" s="4"/>
      <c r="E18" s="5"/>
      <c r="F18" s="5"/>
      <c r="G18" s="5"/>
      <c r="H18" s="14">
        <f t="shared" si="0"/>
        <v>0</v>
      </c>
      <c r="I18" s="5"/>
      <c r="J18" s="14">
        <f t="shared" si="1"/>
        <v>0</v>
      </c>
      <c r="K18" s="5"/>
      <c r="L18" s="5"/>
      <c r="M18" s="14">
        <f t="shared" si="2"/>
        <v>0</v>
      </c>
      <c r="N18" s="5"/>
      <c r="O18" s="14">
        <f t="shared" si="3"/>
        <v>0</v>
      </c>
      <c r="P18" s="6"/>
    </row>
    <row r="19" spans="1:16" x14ac:dyDescent="0.25">
      <c r="A19" s="1"/>
      <c r="B19" s="2"/>
      <c r="C19" s="3"/>
      <c r="D19" s="4"/>
      <c r="E19" s="5"/>
      <c r="F19" s="5"/>
      <c r="G19" s="5"/>
      <c r="H19" s="14">
        <f t="shared" si="0"/>
        <v>0</v>
      </c>
      <c r="I19" s="5"/>
      <c r="J19" s="14">
        <f t="shared" si="1"/>
        <v>0</v>
      </c>
      <c r="K19" s="5"/>
      <c r="L19" s="5"/>
      <c r="M19" s="14">
        <f t="shared" si="2"/>
        <v>0</v>
      </c>
      <c r="N19" s="5"/>
      <c r="O19" s="14">
        <f t="shared" si="3"/>
        <v>0</v>
      </c>
      <c r="P19" s="6"/>
    </row>
    <row r="21" spans="1:16" x14ac:dyDescent="0.25">
      <c r="A21" s="121" t="s">
        <v>43</v>
      </c>
      <c r="B21" s="122"/>
      <c r="C21" s="122"/>
      <c r="D21" s="122"/>
      <c r="E21" s="122"/>
      <c r="F21" s="122"/>
      <c r="G21" s="122"/>
      <c r="H21" s="122"/>
      <c r="I21" s="122"/>
    </row>
    <row r="22" spans="1:16" ht="20.25" customHeight="1" x14ac:dyDescent="0.25">
      <c r="A22" s="122"/>
      <c r="B22" s="122"/>
      <c r="C22" s="122"/>
      <c r="D22" s="122"/>
      <c r="E22" s="122"/>
      <c r="F22" s="122"/>
      <c r="G22" s="122"/>
      <c r="H22" s="122"/>
      <c r="I22" s="122"/>
    </row>
    <row r="24" spans="1:16" ht="15.75" customHeight="1" x14ac:dyDescent="0.25">
      <c r="B24" s="123" t="s">
        <v>44</v>
      </c>
      <c r="C24" s="123"/>
      <c r="D24" s="123"/>
      <c r="E24" s="123"/>
      <c r="F24" s="123"/>
      <c r="G24" s="123"/>
    </row>
    <row r="25" spans="1:16" x14ac:dyDescent="0.25">
      <c r="B25" s="123"/>
      <c r="C25" s="123"/>
      <c r="D25" s="123"/>
      <c r="E25" s="123"/>
      <c r="F25" s="123"/>
      <c r="G25" s="123"/>
    </row>
    <row r="26" spans="1:16" ht="15.75" customHeight="1" x14ac:dyDescent="0.25">
      <c r="B26" s="123"/>
      <c r="C26" s="123"/>
      <c r="D26" s="123"/>
      <c r="E26" s="123"/>
      <c r="F26" s="123"/>
      <c r="G26" s="123"/>
    </row>
    <row r="27" spans="1:16" x14ac:dyDescent="0.25">
      <c r="B27" s="123"/>
      <c r="C27" s="123"/>
      <c r="D27" s="123"/>
      <c r="E27" s="123"/>
      <c r="F27" s="123"/>
      <c r="G27" s="123"/>
    </row>
    <row r="53" ht="80.25" customHeight="1" x14ac:dyDescent="0.25"/>
  </sheetData>
  <sheetProtection sheet="1" objects="1" scenarios="1" insertRows="0"/>
  <mergeCells count="20">
    <mergeCell ref="A21:I22"/>
    <mergeCell ref="B24:G27"/>
    <mergeCell ref="O8:O9"/>
    <mergeCell ref="P8:P9"/>
    <mergeCell ref="N8:N9"/>
    <mergeCell ref="A6:P7"/>
    <mergeCell ref="A1:P5"/>
    <mergeCell ref="A8:A9"/>
    <mergeCell ref="B8:B9"/>
    <mergeCell ref="C8:C9"/>
    <mergeCell ref="D8:D9"/>
    <mergeCell ref="E8:E9"/>
    <mergeCell ref="F8:F9"/>
    <mergeCell ref="G8:G9"/>
    <mergeCell ref="I8:I9"/>
    <mergeCell ref="H8:H9"/>
    <mergeCell ref="J8:J9"/>
    <mergeCell ref="K8:K9"/>
    <mergeCell ref="L8:L9"/>
    <mergeCell ref="M8:M9"/>
  </mergeCells>
  <printOptions horizontalCentered="1" verticalCentered="1" gridLines="1"/>
  <pageMargins left="0.23622047244094491" right="0.23622047244094491" top="0.35433070866141736" bottom="0.35433070866141736" header="0.31496062992125984" footer="0.31496062992125984"/>
  <pageSetup scale="47" fitToHeight="0" orientation="landscape"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24"/>
  <sheetViews>
    <sheetView zoomScale="70" zoomScaleNormal="70" workbookViewId="0">
      <selection activeCell="A19" sqref="A19:XFD19"/>
    </sheetView>
  </sheetViews>
  <sheetFormatPr baseColWidth="10" defaultRowHeight="15.75" x14ac:dyDescent="0.25"/>
  <cols>
    <col min="1" max="2" width="11" style="15"/>
    <col min="3" max="3" width="15.125" style="15" customWidth="1"/>
    <col min="4" max="4" width="29.5" style="15" customWidth="1"/>
    <col min="5" max="5" width="28.625" style="15" customWidth="1"/>
    <col min="6" max="10" width="11" style="15"/>
    <col min="11" max="11" width="11.625" style="15" customWidth="1"/>
    <col min="12" max="13" width="11" style="15"/>
    <col min="14" max="16384" width="11" style="7"/>
  </cols>
  <sheetData>
    <row r="1" spans="1:13" x14ac:dyDescent="0.25">
      <c r="A1" s="124"/>
      <c r="B1" s="124"/>
      <c r="C1" s="124"/>
      <c r="D1" s="124"/>
      <c r="E1" s="124"/>
      <c r="F1" s="124"/>
      <c r="G1" s="124"/>
      <c r="H1" s="124"/>
      <c r="I1" s="124"/>
      <c r="J1" s="124"/>
      <c r="K1" s="124"/>
      <c r="L1" s="124"/>
      <c r="M1" s="124"/>
    </row>
    <row r="2" spans="1:13" x14ac:dyDescent="0.25">
      <c r="A2" s="124"/>
      <c r="B2" s="124"/>
      <c r="C2" s="124"/>
      <c r="D2" s="124"/>
      <c r="E2" s="124"/>
      <c r="F2" s="124"/>
      <c r="G2" s="124"/>
      <c r="H2" s="124"/>
      <c r="I2" s="124"/>
      <c r="J2" s="124"/>
      <c r="K2" s="124"/>
      <c r="L2" s="124"/>
      <c r="M2" s="124"/>
    </row>
    <row r="3" spans="1:13" x14ac:dyDescent="0.25">
      <c r="A3" s="124"/>
      <c r="B3" s="124"/>
      <c r="C3" s="124"/>
      <c r="D3" s="124"/>
      <c r="E3" s="124"/>
      <c r="F3" s="124"/>
      <c r="G3" s="124"/>
      <c r="H3" s="124"/>
      <c r="I3" s="124"/>
      <c r="J3" s="124"/>
      <c r="K3" s="124"/>
      <c r="L3" s="124"/>
      <c r="M3" s="124"/>
    </row>
    <row r="4" spans="1:13" x14ac:dyDescent="0.25">
      <c r="A4" s="124"/>
      <c r="B4" s="124"/>
      <c r="C4" s="124"/>
      <c r="D4" s="124"/>
      <c r="E4" s="124"/>
      <c r="F4" s="124"/>
      <c r="G4" s="124"/>
      <c r="H4" s="124"/>
      <c r="I4" s="124"/>
      <c r="J4" s="124"/>
      <c r="K4" s="124"/>
      <c r="L4" s="124"/>
      <c r="M4" s="124"/>
    </row>
    <row r="5" spans="1:13" x14ac:dyDescent="0.25">
      <c r="A5" s="124"/>
      <c r="B5" s="124"/>
      <c r="C5" s="124"/>
      <c r="D5" s="124"/>
      <c r="E5" s="124"/>
      <c r="F5" s="124"/>
      <c r="G5" s="124"/>
      <c r="H5" s="124"/>
      <c r="I5" s="124"/>
      <c r="J5" s="124"/>
      <c r="K5" s="124"/>
      <c r="L5" s="124"/>
      <c r="M5" s="124"/>
    </row>
    <row r="6" spans="1:13" ht="36" customHeight="1" x14ac:dyDescent="0.25">
      <c r="A6" s="125" t="s">
        <v>27</v>
      </c>
      <c r="B6" s="126"/>
      <c r="C6" s="126"/>
      <c r="D6" s="126"/>
      <c r="E6" s="126"/>
      <c r="F6" s="126"/>
      <c r="G6" s="126"/>
      <c r="H6" s="126"/>
      <c r="I6" s="126"/>
      <c r="J6" s="126"/>
      <c r="K6" s="126"/>
      <c r="L6" s="126"/>
      <c r="M6" s="126"/>
    </row>
    <row r="7" spans="1:13" ht="50.25" customHeight="1" x14ac:dyDescent="0.25">
      <c r="A7" s="125" t="s">
        <v>0</v>
      </c>
      <c r="B7" s="125" t="s">
        <v>1</v>
      </c>
      <c r="C7" s="125" t="s">
        <v>38</v>
      </c>
      <c r="D7" s="125" t="s">
        <v>45</v>
      </c>
      <c r="E7" s="125" t="s">
        <v>46</v>
      </c>
      <c r="F7" s="125" t="s">
        <v>20</v>
      </c>
      <c r="G7" s="129" t="s">
        <v>18</v>
      </c>
      <c r="H7" s="125" t="s">
        <v>17</v>
      </c>
      <c r="I7" s="125" t="s">
        <v>60</v>
      </c>
      <c r="J7" s="125" t="s">
        <v>3</v>
      </c>
      <c r="K7" s="125" t="s">
        <v>4</v>
      </c>
      <c r="L7" s="125" t="s">
        <v>5</v>
      </c>
      <c r="M7" s="125" t="s">
        <v>6</v>
      </c>
    </row>
    <row r="8" spans="1:13" ht="25.5" customHeight="1" x14ac:dyDescent="0.25">
      <c r="A8" s="125"/>
      <c r="B8" s="125"/>
      <c r="C8" s="125"/>
      <c r="D8" s="125"/>
      <c r="E8" s="125"/>
      <c r="F8" s="125"/>
      <c r="G8" s="130"/>
      <c r="H8" s="125"/>
      <c r="I8" s="125"/>
      <c r="J8" s="125"/>
      <c r="K8" s="125"/>
      <c r="L8" s="125"/>
      <c r="M8" s="125"/>
    </row>
    <row r="9" spans="1:13" ht="16.5" x14ac:dyDescent="0.3">
      <c r="A9" s="26" t="s">
        <v>63</v>
      </c>
      <c r="B9" s="27" t="s">
        <v>64</v>
      </c>
      <c r="C9" s="28" t="s">
        <v>65</v>
      </c>
      <c r="D9" s="27" t="s">
        <v>66</v>
      </c>
      <c r="E9" s="27" t="s">
        <v>67</v>
      </c>
      <c r="F9" s="27" t="s">
        <v>68</v>
      </c>
      <c r="G9" s="27" t="s">
        <v>69</v>
      </c>
      <c r="H9" s="29" t="s">
        <v>71</v>
      </c>
      <c r="I9" s="29" t="s">
        <v>79</v>
      </c>
      <c r="J9" s="27" t="s">
        <v>80</v>
      </c>
      <c r="K9" s="27" t="s">
        <v>73</v>
      </c>
      <c r="L9" s="27" t="s">
        <v>70</v>
      </c>
      <c r="M9" s="30" t="s">
        <v>81</v>
      </c>
    </row>
    <row r="10" spans="1:13" ht="16.5" x14ac:dyDescent="0.3">
      <c r="A10" s="21"/>
      <c r="B10" s="17"/>
      <c r="C10" s="18"/>
      <c r="D10" s="17"/>
      <c r="E10" s="17"/>
      <c r="F10" s="17"/>
      <c r="G10" s="17"/>
      <c r="H10" s="19"/>
      <c r="I10" s="31">
        <f t="shared" ref="I10:I16" si="0">F10*H10</f>
        <v>0</v>
      </c>
      <c r="J10" s="17"/>
      <c r="K10" s="17"/>
      <c r="L10" s="32">
        <f t="shared" ref="L10:L16" si="1">-J10+K10</f>
        <v>0</v>
      </c>
      <c r="M10" s="33">
        <f t="shared" ref="M10:M16" si="2">I10*L10*52/1000</f>
        <v>0</v>
      </c>
    </row>
    <row r="11" spans="1:13" ht="16.5" x14ac:dyDescent="0.3">
      <c r="A11" s="21"/>
      <c r="B11" s="17"/>
      <c r="C11" s="18"/>
      <c r="D11" s="17"/>
      <c r="E11" s="17"/>
      <c r="F11" s="17"/>
      <c r="G11" s="17"/>
      <c r="H11" s="19"/>
      <c r="I11" s="31">
        <f t="shared" si="0"/>
        <v>0</v>
      </c>
      <c r="J11" s="17"/>
      <c r="K11" s="17"/>
      <c r="L11" s="32">
        <f t="shared" si="1"/>
        <v>0</v>
      </c>
      <c r="M11" s="33">
        <f t="shared" si="2"/>
        <v>0</v>
      </c>
    </row>
    <row r="12" spans="1:13" ht="16.5" x14ac:dyDescent="0.3">
      <c r="A12" s="21"/>
      <c r="B12" s="17"/>
      <c r="C12" s="18"/>
      <c r="D12" s="17"/>
      <c r="E12" s="17"/>
      <c r="F12" s="17"/>
      <c r="G12" s="17"/>
      <c r="H12" s="19"/>
      <c r="I12" s="31">
        <f t="shared" si="0"/>
        <v>0</v>
      </c>
      <c r="J12" s="17"/>
      <c r="K12" s="17"/>
      <c r="L12" s="32">
        <f t="shared" si="1"/>
        <v>0</v>
      </c>
      <c r="M12" s="33">
        <f t="shared" si="2"/>
        <v>0</v>
      </c>
    </row>
    <row r="13" spans="1:13" ht="16.5" x14ac:dyDescent="0.3">
      <c r="A13" s="21"/>
      <c r="B13" s="17"/>
      <c r="C13" s="18"/>
      <c r="D13" s="17"/>
      <c r="E13" s="17"/>
      <c r="F13" s="17"/>
      <c r="G13" s="17"/>
      <c r="H13" s="19"/>
      <c r="I13" s="31">
        <f t="shared" si="0"/>
        <v>0</v>
      </c>
      <c r="J13" s="17"/>
      <c r="K13" s="17"/>
      <c r="L13" s="32">
        <f t="shared" si="1"/>
        <v>0</v>
      </c>
      <c r="M13" s="33">
        <f t="shared" si="2"/>
        <v>0</v>
      </c>
    </row>
    <row r="14" spans="1:13" ht="16.5" x14ac:dyDescent="0.3">
      <c r="A14" s="21"/>
      <c r="B14" s="17"/>
      <c r="C14" s="18"/>
      <c r="D14" s="17"/>
      <c r="E14" s="17"/>
      <c r="F14" s="17"/>
      <c r="G14" s="17"/>
      <c r="H14" s="19"/>
      <c r="I14" s="31">
        <f t="shared" si="0"/>
        <v>0</v>
      </c>
      <c r="J14" s="17"/>
      <c r="K14" s="17"/>
      <c r="L14" s="32">
        <f t="shared" si="1"/>
        <v>0</v>
      </c>
      <c r="M14" s="33">
        <f t="shared" si="2"/>
        <v>0</v>
      </c>
    </row>
    <row r="15" spans="1:13" ht="16.5" x14ac:dyDescent="0.3">
      <c r="A15" s="21"/>
      <c r="B15" s="17"/>
      <c r="C15" s="18"/>
      <c r="D15" s="17"/>
      <c r="E15" s="17"/>
      <c r="F15" s="17"/>
      <c r="G15" s="17"/>
      <c r="H15" s="19"/>
      <c r="I15" s="31">
        <f t="shared" si="0"/>
        <v>0</v>
      </c>
      <c r="J15" s="17"/>
      <c r="K15" s="17"/>
      <c r="L15" s="32">
        <f t="shared" si="1"/>
        <v>0</v>
      </c>
      <c r="M15" s="33">
        <f t="shared" si="2"/>
        <v>0</v>
      </c>
    </row>
    <row r="16" spans="1:13" ht="16.5" x14ac:dyDescent="0.3">
      <c r="A16" s="22"/>
      <c r="B16" s="23"/>
      <c r="C16" s="24"/>
      <c r="D16" s="23"/>
      <c r="E16" s="23"/>
      <c r="F16" s="23"/>
      <c r="G16" s="23"/>
      <c r="H16" s="25"/>
      <c r="I16" s="31">
        <f t="shared" si="0"/>
        <v>0</v>
      </c>
      <c r="J16" s="23"/>
      <c r="K16" s="23"/>
      <c r="L16" s="32">
        <f t="shared" si="1"/>
        <v>0</v>
      </c>
      <c r="M16" s="33">
        <f t="shared" si="2"/>
        <v>0</v>
      </c>
    </row>
    <row r="17" spans="1:13" ht="16.5" x14ac:dyDescent="0.3">
      <c r="A17" s="21"/>
      <c r="B17" s="17"/>
      <c r="C17" s="18"/>
      <c r="D17" s="17"/>
      <c r="E17" s="17"/>
      <c r="F17" s="17"/>
      <c r="G17" s="17"/>
      <c r="H17" s="19"/>
      <c r="I17" s="19">
        <f>F17*H17</f>
        <v>0</v>
      </c>
      <c r="J17" s="17"/>
      <c r="K17" s="17"/>
      <c r="L17" s="17">
        <f>-J17+K17</f>
        <v>0</v>
      </c>
      <c r="M17" s="104">
        <f>I17*L17*52/1000</f>
        <v>0</v>
      </c>
    </row>
    <row r="18" spans="1:13" ht="16.5" x14ac:dyDescent="0.3">
      <c r="A18" s="21"/>
      <c r="B18" s="17"/>
      <c r="C18" s="18"/>
      <c r="D18" s="17"/>
      <c r="E18" s="17"/>
      <c r="F18" s="17"/>
      <c r="G18" s="17"/>
      <c r="H18" s="19"/>
      <c r="I18" s="19">
        <f>F18*H18</f>
        <v>0</v>
      </c>
      <c r="J18" s="17"/>
      <c r="K18" s="17"/>
      <c r="L18" s="17">
        <f>-J18+K18</f>
        <v>0</v>
      </c>
      <c r="M18" s="104">
        <f>I18*L18*52/1000</f>
        <v>0</v>
      </c>
    </row>
    <row r="19" spans="1:13" ht="16.5" x14ac:dyDescent="0.3">
      <c r="A19" s="21"/>
      <c r="B19" s="17"/>
      <c r="C19" s="18"/>
      <c r="D19" s="17"/>
      <c r="E19" s="17"/>
      <c r="F19" s="17"/>
      <c r="G19" s="17"/>
      <c r="H19" s="19"/>
      <c r="I19" s="19">
        <f>F19*H19</f>
        <v>0</v>
      </c>
      <c r="J19" s="17"/>
      <c r="K19" s="17"/>
      <c r="L19" s="17">
        <f>-J19+K19</f>
        <v>0</v>
      </c>
      <c r="M19" s="104">
        <f>I19*L19*52/1000</f>
        <v>0</v>
      </c>
    </row>
    <row r="20" spans="1:13" ht="39" customHeight="1" x14ac:dyDescent="0.3">
      <c r="A20" s="21"/>
      <c r="B20" s="17"/>
      <c r="C20" s="18"/>
      <c r="D20" s="17"/>
      <c r="E20" s="17"/>
      <c r="F20" s="17"/>
      <c r="G20" s="17"/>
      <c r="H20" s="19"/>
      <c r="I20" s="19">
        <f>F20*H20</f>
        <v>0</v>
      </c>
      <c r="J20" s="17"/>
      <c r="K20" s="17"/>
      <c r="L20" s="17">
        <f>-J20+K20</f>
        <v>0</v>
      </c>
      <c r="M20" s="104">
        <f>I20*L20*52/1000</f>
        <v>0</v>
      </c>
    </row>
    <row r="21" spans="1:13" x14ac:dyDescent="0.25">
      <c r="A21" s="127" t="s">
        <v>47</v>
      </c>
      <c r="B21" s="127"/>
      <c r="C21" s="127"/>
      <c r="D21" s="127"/>
      <c r="E21" s="127"/>
      <c r="F21" s="127"/>
      <c r="G21" s="127"/>
      <c r="H21" s="127"/>
      <c r="I21" s="127"/>
      <c r="J21" s="127"/>
    </row>
    <row r="22" spans="1:13" x14ac:dyDescent="0.25">
      <c r="A22" s="110"/>
      <c r="B22" s="110"/>
      <c r="C22" s="110"/>
      <c r="D22" s="110"/>
      <c r="E22" s="110"/>
      <c r="F22" s="110"/>
      <c r="G22" s="110"/>
      <c r="H22" s="110"/>
      <c r="I22" s="110"/>
      <c r="J22" s="110"/>
    </row>
    <row r="24" spans="1:13" x14ac:dyDescent="0.25">
      <c r="A24" s="7"/>
      <c r="B24" s="128" t="s">
        <v>24</v>
      </c>
      <c r="C24" s="128"/>
      <c r="D24" s="128"/>
      <c r="E24" s="128"/>
      <c r="F24" s="128"/>
      <c r="G24" s="128"/>
      <c r="H24" s="128"/>
      <c r="I24" s="128"/>
      <c r="J24" s="128"/>
    </row>
  </sheetData>
  <sheetProtection sheet="1" objects="1" scenarios="1" insertRows="0"/>
  <mergeCells count="17">
    <mergeCell ref="A21:J22"/>
    <mergeCell ref="B24:J24"/>
    <mergeCell ref="G7:G8"/>
    <mergeCell ref="A1:M5"/>
    <mergeCell ref="A6:M6"/>
    <mergeCell ref="A7:A8"/>
    <mergeCell ref="B7:B8"/>
    <mergeCell ref="C7:C8"/>
    <mergeCell ref="D7:D8"/>
    <mergeCell ref="E7:E8"/>
    <mergeCell ref="F7:F8"/>
    <mergeCell ref="H7:H8"/>
    <mergeCell ref="J7:J8"/>
    <mergeCell ref="L7:L8"/>
    <mergeCell ref="M7:M8"/>
    <mergeCell ref="K7:K8"/>
    <mergeCell ref="I7:I8"/>
  </mergeCells>
  <printOptions horizontalCentered="1"/>
  <pageMargins left="0.59055118110236227" right="0.59055118110236227" top="0.59055118110236227" bottom="0.39370078740157483" header="0.31496062992125984" footer="0.31496062992125984"/>
  <pageSetup scale="52" fitToHeight="0" orientation="landscape"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18"/>
  <sheetViews>
    <sheetView zoomScale="74" workbookViewId="0">
      <selection activeCell="A13" sqref="A13:XFD13"/>
    </sheetView>
  </sheetViews>
  <sheetFormatPr baseColWidth="10" defaultRowHeight="15.75" x14ac:dyDescent="0.25"/>
  <cols>
    <col min="1" max="1" width="12" style="7" customWidth="1"/>
    <col min="2" max="4" width="12.375" style="7" customWidth="1"/>
    <col min="5" max="6" width="13.375" style="7" customWidth="1"/>
    <col min="7" max="7" width="12.5" style="7" customWidth="1"/>
    <col min="8" max="8" width="12.375" style="7" customWidth="1"/>
    <col min="9" max="9" width="11" style="7"/>
    <col min="10" max="10" width="12.375" style="7" customWidth="1"/>
    <col min="11" max="11" width="13.125" style="7" customWidth="1"/>
    <col min="12" max="12" width="12.875" style="7" customWidth="1"/>
    <col min="13" max="13" width="14.125" style="7" customWidth="1"/>
    <col min="14" max="14" width="10.125" style="7" bestFit="1" customWidth="1"/>
    <col min="15" max="15" width="13.125" style="7" customWidth="1"/>
    <col min="16" max="16" width="15.75" style="7" customWidth="1"/>
    <col min="17" max="16384" width="11" style="7"/>
  </cols>
  <sheetData>
    <row r="1" spans="1:16" ht="15.75" customHeight="1" x14ac:dyDescent="0.25">
      <c r="A1" s="131"/>
      <c r="B1" s="131"/>
      <c r="C1" s="131"/>
      <c r="D1" s="131"/>
      <c r="E1" s="131"/>
      <c r="F1" s="131"/>
      <c r="G1" s="131"/>
      <c r="H1" s="131"/>
      <c r="I1" s="131"/>
      <c r="J1" s="131"/>
      <c r="K1" s="131"/>
      <c r="L1" s="131"/>
      <c r="M1" s="131"/>
      <c r="N1" s="131"/>
      <c r="O1" s="131"/>
      <c r="P1" s="131"/>
    </row>
    <row r="2" spans="1:16" ht="15.75" customHeight="1" x14ac:dyDescent="0.25">
      <c r="A2" s="131"/>
      <c r="B2" s="131"/>
      <c r="C2" s="131"/>
      <c r="D2" s="131"/>
      <c r="E2" s="131"/>
      <c r="F2" s="131"/>
      <c r="G2" s="131"/>
      <c r="H2" s="131"/>
      <c r="I2" s="131"/>
      <c r="J2" s="131"/>
      <c r="K2" s="131"/>
      <c r="L2" s="131"/>
      <c r="M2" s="131"/>
      <c r="N2" s="131"/>
      <c r="O2" s="131"/>
      <c r="P2" s="131"/>
    </row>
    <row r="3" spans="1:16" ht="15.75" customHeight="1" x14ac:dyDescent="0.25">
      <c r="A3" s="131"/>
      <c r="B3" s="131"/>
      <c r="C3" s="131"/>
      <c r="D3" s="131"/>
      <c r="E3" s="131"/>
      <c r="F3" s="131"/>
      <c r="G3" s="131"/>
      <c r="H3" s="131"/>
      <c r="I3" s="131"/>
      <c r="J3" s="131"/>
      <c r="K3" s="131"/>
      <c r="L3" s="131"/>
      <c r="M3" s="131"/>
      <c r="N3" s="131"/>
      <c r="O3" s="131"/>
      <c r="P3" s="131"/>
    </row>
    <row r="4" spans="1:16" ht="15.75" customHeight="1" x14ac:dyDescent="0.25">
      <c r="A4" s="131"/>
      <c r="B4" s="131"/>
      <c r="C4" s="131"/>
      <c r="D4" s="131"/>
      <c r="E4" s="131"/>
      <c r="F4" s="131"/>
      <c r="G4" s="131"/>
      <c r="H4" s="131"/>
      <c r="I4" s="131"/>
      <c r="J4" s="131"/>
      <c r="K4" s="131"/>
      <c r="L4" s="131"/>
      <c r="M4" s="131"/>
      <c r="N4" s="131"/>
      <c r="O4" s="131"/>
      <c r="P4" s="131"/>
    </row>
    <row r="5" spans="1:16" ht="15.75" customHeight="1" x14ac:dyDescent="0.25">
      <c r="A5" s="131"/>
      <c r="B5" s="131"/>
      <c r="C5" s="131"/>
      <c r="D5" s="131"/>
      <c r="E5" s="131"/>
      <c r="F5" s="131"/>
      <c r="G5" s="131"/>
      <c r="H5" s="131"/>
      <c r="I5" s="131"/>
      <c r="J5" s="131"/>
      <c r="K5" s="131"/>
      <c r="L5" s="131"/>
      <c r="M5" s="131"/>
      <c r="N5" s="131"/>
      <c r="O5" s="131"/>
      <c r="P5" s="131"/>
    </row>
    <row r="6" spans="1:16" ht="15.75" customHeight="1" x14ac:dyDescent="0.25">
      <c r="A6" s="132" t="s">
        <v>26</v>
      </c>
      <c r="B6" s="132"/>
      <c r="C6" s="132"/>
      <c r="D6" s="132"/>
      <c r="E6" s="132"/>
      <c r="F6" s="132"/>
      <c r="G6" s="132"/>
      <c r="H6" s="132"/>
      <c r="I6" s="132"/>
      <c r="J6" s="132"/>
      <c r="K6" s="132"/>
      <c r="L6" s="132"/>
      <c r="M6" s="132"/>
      <c r="N6" s="132"/>
      <c r="O6" s="132"/>
      <c r="P6" s="132"/>
    </row>
    <row r="7" spans="1:16" ht="15.75" customHeight="1" x14ac:dyDescent="0.25">
      <c r="A7" s="132"/>
      <c r="B7" s="132"/>
      <c r="C7" s="132"/>
      <c r="D7" s="132"/>
      <c r="E7" s="132"/>
      <c r="F7" s="132"/>
      <c r="G7" s="132"/>
      <c r="H7" s="132"/>
      <c r="I7" s="132"/>
      <c r="J7" s="132"/>
      <c r="K7" s="132"/>
      <c r="L7" s="132"/>
      <c r="M7" s="132"/>
      <c r="N7" s="132"/>
      <c r="O7" s="132"/>
      <c r="P7" s="132"/>
    </row>
    <row r="8" spans="1:16" ht="15.75" customHeight="1" x14ac:dyDescent="0.25">
      <c r="A8" s="132"/>
      <c r="B8" s="132"/>
      <c r="C8" s="132"/>
      <c r="D8" s="132"/>
      <c r="E8" s="132"/>
      <c r="F8" s="132"/>
      <c r="G8" s="132"/>
      <c r="H8" s="132"/>
      <c r="I8" s="132"/>
      <c r="J8" s="132"/>
      <c r="K8" s="132"/>
      <c r="L8" s="132"/>
      <c r="M8" s="132"/>
      <c r="N8" s="132"/>
      <c r="O8" s="132"/>
      <c r="P8" s="132"/>
    </row>
    <row r="9" spans="1:16" ht="74.25" customHeight="1" x14ac:dyDescent="0.25">
      <c r="A9" s="34" t="s">
        <v>0</v>
      </c>
      <c r="B9" s="34" t="s">
        <v>1</v>
      </c>
      <c r="C9" s="34" t="s">
        <v>48</v>
      </c>
      <c r="D9" s="34" t="s">
        <v>49</v>
      </c>
      <c r="E9" s="34" t="s">
        <v>50</v>
      </c>
      <c r="F9" s="34" t="s">
        <v>20</v>
      </c>
      <c r="G9" s="34" t="s">
        <v>8</v>
      </c>
      <c r="H9" s="34" t="s">
        <v>14</v>
      </c>
      <c r="I9" s="34" t="s">
        <v>61</v>
      </c>
      <c r="J9" s="34" t="s">
        <v>19</v>
      </c>
      <c r="K9" s="35" t="s">
        <v>3</v>
      </c>
      <c r="L9" s="35" t="s">
        <v>4</v>
      </c>
      <c r="M9" s="35" t="s">
        <v>5</v>
      </c>
      <c r="N9" s="35" t="s">
        <v>6</v>
      </c>
      <c r="O9" s="34" t="s">
        <v>21</v>
      </c>
      <c r="P9" s="34" t="s">
        <v>7</v>
      </c>
    </row>
    <row r="10" spans="1:16" ht="22.5" customHeight="1" x14ac:dyDescent="0.3">
      <c r="A10" s="51" t="s">
        <v>63</v>
      </c>
      <c r="B10" s="52" t="s">
        <v>64</v>
      </c>
      <c r="C10" s="52" t="s">
        <v>65</v>
      </c>
      <c r="D10" s="52" t="s">
        <v>66</v>
      </c>
      <c r="E10" s="53" t="s">
        <v>67</v>
      </c>
      <c r="F10" s="53" t="s">
        <v>68</v>
      </c>
      <c r="G10" s="54" t="s">
        <v>69</v>
      </c>
      <c r="H10" s="55" t="s">
        <v>71</v>
      </c>
      <c r="I10" s="55" t="s">
        <v>79</v>
      </c>
      <c r="J10" s="52" t="s">
        <v>80</v>
      </c>
      <c r="K10" s="56" t="s">
        <v>73</v>
      </c>
      <c r="L10" s="56" t="s">
        <v>74</v>
      </c>
      <c r="M10" s="56" t="s">
        <v>70</v>
      </c>
      <c r="N10" s="56" t="s">
        <v>75</v>
      </c>
      <c r="O10" s="56" t="s">
        <v>76</v>
      </c>
      <c r="P10" s="57" t="s">
        <v>83</v>
      </c>
    </row>
    <row r="11" spans="1:16" ht="16.5" x14ac:dyDescent="0.3">
      <c r="A11" s="41"/>
      <c r="B11" s="36"/>
      <c r="C11" s="36"/>
      <c r="D11" s="16"/>
      <c r="E11" s="37"/>
      <c r="F11" s="37"/>
      <c r="G11" s="38"/>
      <c r="H11" s="39"/>
      <c r="I11" s="58">
        <f t="shared" ref="I11:I13" si="0">H11*F11</f>
        <v>0</v>
      </c>
      <c r="J11" s="16"/>
      <c r="K11" s="40"/>
      <c r="L11" s="40"/>
      <c r="M11" s="59">
        <f t="shared" ref="M11:M13" si="1">K11+L11</f>
        <v>0</v>
      </c>
      <c r="N11" s="59">
        <f t="shared" ref="N11:N13" si="2">I11*M11*52/1000</f>
        <v>0</v>
      </c>
      <c r="O11" s="40"/>
      <c r="P11" s="42"/>
    </row>
    <row r="12" spans="1:16" ht="16.5" x14ac:dyDescent="0.3">
      <c r="A12" s="41"/>
      <c r="B12" s="36"/>
      <c r="C12" s="36"/>
      <c r="D12" s="16"/>
      <c r="E12" s="37"/>
      <c r="F12" s="37"/>
      <c r="G12" s="38"/>
      <c r="H12" s="39"/>
      <c r="I12" s="58">
        <f t="shared" si="0"/>
        <v>0</v>
      </c>
      <c r="J12" s="16"/>
      <c r="K12" s="40"/>
      <c r="L12" s="40"/>
      <c r="M12" s="59">
        <f t="shared" si="1"/>
        <v>0</v>
      </c>
      <c r="N12" s="59">
        <f t="shared" si="2"/>
        <v>0</v>
      </c>
      <c r="O12" s="40"/>
      <c r="P12" s="42"/>
    </row>
    <row r="13" spans="1:16" ht="16.5" x14ac:dyDescent="0.3">
      <c r="A13" s="43"/>
      <c r="B13" s="44"/>
      <c r="C13" s="44"/>
      <c r="D13" s="45"/>
      <c r="E13" s="46"/>
      <c r="F13" s="46"/>
      <c r="G13" s="47"/>
      <c r="H13" s="48"/>
      <c r="I13" s="58">
        <f t="shared" si="0"/>
        <v>0</v>
      </c>
      <c r="J13" s="45"/>
      <c r="K13" s="49"/>
      <c r="L13" s="49"/>
      <c r="M13" s="59">
        <f t="shared" si="1"/>
        <v>0</v>
      </c>
      <c r="N13" s="59">
        <f t="shared" si="2"/>
        <v>0</v>
      </c>
      <c r="O13" s="49"/>
      <c r="P13" s="50"/>
    </row>
    <row r="15" spans="1:16" x14ac:dyDescent="0.25">
      <c r="A15" s="121" t="s">
        <v>51</v>
      </c>
      <c r="B15" s="122"/>
      <c r="C15" s="122"/>
      <c r="D15" s="122"/>
      <c r="E15" s="122"/>
      <c r="F15" s="122"/>
      <c r="G15" s="122"/>
      <c r="H15" s="122"/>
      <c r="I15" s="122"/>
      <c r="J15" s="122"/>
      <c r="K15" s="122"/>
      <c r="L15" s="122"/>
      <c r="M15" s="122"/>
    </row>
    <row r="16" spans="1:16" x14ac:dyDescent="0.25">
      <c r="A16" s="122"/>
      <c r="B16" s="122"/>
      <c r="C16" s="122"/>
      <c r="D16" s="122"/>
      <c r="E16" s="122"/>
      <c r="F16" s="122"/>
      <c r="G16" s="122"/>
      <c r="H16" s="122"/>
      <c r="I16" s="122"/>
      <c r="J16" s="122"/>
      <c r="K16" s="122"/>
      <c r="L16" s="122"/>
      <c r="M16" s="122"/>
    </row>
    <row r="18" spans="2:2" x14ac:dyDescent="0.25">
      <c r="B18" s="7" t="s">
        <v>24</v>
      </c>
    </row>
  </sheetData>
  <sheetProtection sheet="1" objects="1" scenarios="1" insertRows="0"/>
  <mergeCells count="3">
    <mergeCell ref="A1:P5"/>
    <mergeCell ref="A6:P8"/>
    <mergeCell ref="A15:M16"/>
  </mergeCells>
  <pageMargins left="0.59055118110236215" right="0.59055118110236215" top="0.59055118110236215" bottom="0.39370078740157483" header="0.31496062992125984" footer="0.31496062992125984"/>
  <pageSetup scale="65" fitToHeight="0" orientation="landscape"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22"/>
  <sheetViews>
    <sheetView zoomScale="75" zoomScaleNormal="70" workbookViewId="0">
      <selection activeCell="A13" sqref="A13:XFD13"/>
    </sheetView>
  </sheetViews>
  <sheetFormatPr baseColWidth="10" defaultRowHeight="15.75" x14ac:dyDescent="0.25"/>
  <cols>
    <col min="1" max="1" width="11.875" style="7" customWidth="1"/>
    <col min="2" max="3" width="12.125" style="7" customWidth="1"/>
    <col min="4" max="4" width="18.25" style="7" customWidth="1"/>
    <col min="5" max="6" width="15.625" style="7" customWidth="1"/>
    <col min="7" max="7" width="14" style="7" customWidth="1"/>
    <col min="8" max="8" width="12.125" style="7" customWidth="1"/>
    <col min="9" max="9" width="13.25" style="7" bestFit="1" customWidth="1"/>
    <col min="10" max="12" width="13.25" style="7" customWidth="1"/>
    <col min="13" max="13" width="12.125" style="7" customWidth="1"/>
    <col min="14" max="14" width="11" style="7"/>
    <col min="15" max="15" width="13" style="7" customWidth="1"/>
    <col min="16" max="16384" width="11" style="7"/>
  </cols>
  <sheetData>
    <row r="1" spans="1:16" x14ac:dyDescent="0.25">
      <c r="A1" s="133"/>
      <c r="B1" s="133"/>
      <c r="C1" s="133"/>
      <c r="D1" s="133"/>
      <c r="E1" s="133"/>
      <c r="F1" s="133"/>
      <c r="G1" s="133"/>
      <c r="H1" s="133"/>
      <c r="I1" s="133"/>
      <c r="J1" s="133"/>
      <c r="K1" s="133"/>
      <c r="L1" s="133"/>
      <c r="M1" s="133"/>
      <c r="N1" s="133"/>
      <c r="O1" s="133"/>
      <c r="P1" s="133"/>
    </row>
    <row r="2" spans="1:16" x14ac:dyDescent="0.25">
      <c r="A2" s="133"/>
      <c r="B2" s="133"/>
      <c r="C2" s="133"/>
      <c r="D2" s="133"/>
      <c r="E2" s="133"/>
      <c r="F2" s="133"/>
      <c r="G2" s="133"/>
      <c r="H2" s="133"/>
      <c r="I2" s="133"/>
      <c r="J2" s="133"/>
      <c r="K2" s="133"/>
      <c r="L2" s="133"/>
      <c r="M2" s="133"/>
      <c r="N2" s="133"/>
      <c r="O2" s="133"/>
      <c r="P2" s="133"/>
    </row>
    <row r="3" spans="1:16" x14ac:dyDescent="0.25">
      <c r="A3" s="133"/>
      <c r="B3" s="133"/>
      <c r="C3" s="133"/>
      <c r="D3" s="133"/>
      <c r="E3" s="133"/>
      <c r="F3" s="133"/>
      <c r="G3" s="133"/>
      <c r="H3" s="133"/>
      <c r="I3" s="133"/>
      <c r="J3" s="133"/>
      <c r="K3" s="133"/>
      <c r="L3" s="133"/>
      <c r="M3" s="133"/>
      <c r="N3" s="133"/>
      <c r="O3" s="133"/>
      <c r="P3" s="133"/>
    </row>
    <row r="4" spans="1:16" x14ac:dyDescent="0.25">
      <c r="A4" s="133"/>
      <c r="B4" s="133"/>
      <c r="C4" s="133"/>
      <c r="D4" s="133"/>
      <c r="E4" s="133"/>
      <c r="F4" s="133"/>
      <c r="G4" s="133"/>
      <c r="H4" s="133"/>
      <c r="I4" s="133"/>
      <c r="J4" s="133"/>
      <c r="K4" s="133"/>
      <c r="L4" s="133"/>
      <c r="M4" s="133"/>
      <c r="N4" s="133"/>
      <c r="O4" s="133"/>
      <c r="P4" s="133"/>
    </row>
    <row r="5" spans="1:16" x14ac:dyDescent="0.25">
      <c r="A5" s="133"/>
      <c r="B5" s="133"/>
      <c r="C5" s="133"/>
      <c r="D5" s="133"/>
      <c r="E5" s="133"/>
      <c r="F5" s="133"/>
      <c r="G5" s="133"/>
      <c r="H5" s="133"/>
      <c r="I5" s="133"/>
      <c r="J5" s="133"/>
      <c r="K5" s="133"/>
      <c r="L5" s="133"/>
      <c r="M5" s="133"/>
      <c r="N5" s="133"/>
      <c r="O5" s="133"/>
      <c r="P5" s="133"/>
    </row>
    <row r="6" spans="1:16" ht="15.75" customHeight="1" x14ac:dyDescent="0.25">
      <c r="A6" s="134" t="s">
        <v>29</v>
      </c>
      <c r="B6" s="135"/>
      <c r="C6" s="135"/>
      <c r="D6" s="135"/>
      <c r="E6" s="135"/>
      <c r="F6" s="135"/>
      <c r="G6" s="135"/>
      <c r="H6" s="135"/>
      <c r="I6" s="135"/>
      <c r="J6" s="135"/>
      <c r="K6" s="135"/>
      <c r="L6" s="135"/>
      <c r="M6" s="135"/>
      <c r="N6" s="135"/>
      <c r="O6" s="135"/>
      <c r="P6" s="135"/>
    </row>
    <row r="7" spans="1:16" ht="15.75" customHeight="1" x14ac:dyDescent="0.25">
      <c r="A7" s="135"/>
      <c r="B7" s="135"/>
      <c r="C7" s="135"/>
      <c r="D7" s="135"/>
      <c r="E7" s="135"/>
      <c r="F7" s="135"/>
      <c r="G7" s="135"/>
      <c r="H7" s="135"/>
      <c r="I7" s="135"/>
      <c r="J7" s="135"/>
      <c r="K7" s="135"/>
      <c r="L7" s="135"/>
      <c r="M7" s="135"/>
      <c r="N7" s="135"/>
      <c r="O7" s="135"/>
      <c r="P7" s="135"/>
    </row>
    <row r="8" spans="1:16" ht="60.75" customHeight="1" x14ac:dyDescent="0.25">
      <c r="A8" s="34" t="s">
        <v>0</v>
      </c>
      <c r="B8" s="34" t="s">
        <v>1</v>
      </c>
      <c r="C8" s="34" t="s">
        <v>38</v>
      </c>
      <c r="D8" s="34" t="s">
        <v>49</v>
      </c>
      <c r="E8" s="60" t="s">
        <v>52</v>
      </c>
      <c r="F8" s="60" t="s">
        <v>20</v>
      </c>
      <c r="G8" s="61" t="s">
        <v>9</v>
      </c>
      <c r="H8" s="62" t="s">
        <v>10</v>
      </c>
      <c r="I8" s="62" t="s">
        <v>53</v>
      </c>
      <c r="J8" s="62" t="s">
        <v>14</v>
      </c>
      <c r="K8" s="62" t="s">
        <v>61</v>
      </c>
      <c r="L8" s="63" t="s">
        <v>3</v>
      </c>
      <c r="M8" s="63" t="s">
        <v>4</v>
      </c>
      <c r="N8" s="63" t="s">
        <v>5</v>
      </c>
      <c r="O8" s="62" t="s">
        <v>21</v>
      </c>
      <c r="P8" s="62" t="s">
        <v>22</v>
      </c>
    </row>
    <row r="9" spans="1:16" x14ac:dyDescent="0.25">
      <c r="A9" s="79" t="s">
        <v>63</v>
      </c>
      <c r="B9" s="80" t="s">
        <v>64</v>
      </c>
      <c r="C9" s="80" t="s">
        <v>65</v>
      </c>
      <c r="D9" s="81" t="s">
        <v>66</v>
      </c>
      <c r="E9" s="82" t="s">
        <v>67</v>
      </c>
      <c r="F9" s="82" t="s">
        <v>68</v>
      </c>
      <c r="G9" s="82" t="s">
        <v>69</v>
      </c>
      <c r="H9" s="79" t="s">
        <v>71</v>
      </c>
      <c r="I9" s="83" t="s">
        <v>80</v>
      </c>
      <c r="J9" s="83" t="s">
        <v>73</v>
      </c>
      <c r="K9" s="83" t="s">
        <v>84</v>
      </c>
      <c r="L9" s="84" t="s">
        <v>74</v>
      </c>
      <c r="M9" s="84" t="s">
        <v>82</v>
      </c>
      <c r="N9" s="85" t="s">
        <v>70</v>
      </c>
      <c r="O9" s="86" t="s">
        <v>76</v>
      </c>
      <c r="P9" s="87" t="s">
        <v>77</v>
      </c>
    </row>
    <row r="10" spans="1:16" x14ac:dyDescent="0.25">
      <c r="A10" s="67"/>
      <c r="B10" s="64"/>
      <c r="C10" s="64"/>
      <c r="D10" s="65"/>
      <c r="E10" s="71"/>
      <c r="F10" s="71"/>
      <c r="G10" s="71"/>
      <c r="H10" s="67"/>
      <c r="I10" s="68"/>
      <c r="J10" s="68"/>
      <c r="K10" s="88">
        <f t="shared" ref="K10:K18" si="0">F10*J10</f>
        <v>0</v>
      </c>
      <c r="L10" s="68"/>
      <c r="M10" s="70"/>
      <c r="N10" s="89">
        <f t="shared" ref="N10:N18" si="1">L10+M10</f>
        <v>0</v>
      </c>
      <c r="O10" s="69"/>
      <c r="P10" s="90">
        <f t="shared" ref="P10:P18" si="2">K10*N10*52/1000</f>
        <v>0</v>
      </c>
    </row>
    <row r="11" spans="1:16" x14ac:dyDescent="0.25">
      <c r="A11" s="67"/>
      <c r="B11" s="64"/>
      <c r="C11" s="64"/>
      <c r="D11" s="64"/>
      <c r="E11" s="72"/>
      <c r="F11" s="72"/>
      <c r="G11" s="72"/>
      <c r="H11" s="64"/>
      <c r="I11" s="68"/>
      <c r="J11" s="68"/>
      <c r="K11" s="88">
        <f t="shared" si="0"/>
        <v>0</v>
      </c>
      <c r="L11" s="68"/>
      <c r="M11" s="70"/>
      <c r="N11" s="89">
        <f t="shared" si="1"/>
        <v>0</v>
      </c>
      <c r="O11" s="69"/>
      <c r="P11" s="90">
        <f t="shared" si="2"/>
        <v>0</v>
      </c>
    </row>
    <row r="12" spans="1:16" x14ac:dyDescent="0.25">
      <c r="A12" s="67"/>
      <c r="B12" s="64"/>
      <c r="C12" s="64"/>
      <c r="D12" s="64"/>
      <c r="E12" s="64"/>
      <c r="F12" s="64"/>
      <c r="G12" s="64"/>
      <c r="H12" s="64"/>
      <c r="I12" s="73"/>
      <c r="J12" s="73"/>
      <c r="K12" s="88">
        <f t="shared" si="0"/>
        <v>0</v>
      </c>
      <c r="L12" s="68"/>
      <c r="M12" s="70"/>
      <c r="N12" s="89">
        <f t="shared" si="1"/>
        <v>0</v>
      </c>
      <c r="O12" s="69"/>
      <c r="P12" s="90">
        <f t="shared" si="2"/>
        <v>0</v>
      </c>
    </row>
    <row r="13" spans="1:16" x14ac:dyDescent="0.25">
      <c r="A13" s="67"/>
      <c r="B13" s="64"/>
      <c r="C13" s="64"/>
      <c r="D13" s="64"/>
      <c r="E13" s="64"/>
      <c r="F13" s="64"/>
      <c r="G13" s="64"/>
      <c r="H13" s="65"/>
      <c r="I13" s="66"/>
      <c r="J13" s="66"/>
      <c r="K13" s="88">
        <f t="shared" si="0"/>
        <v>0</v>
      </c>
      <c r="M13" s="70"/>
      <c r="N13" s="89">
        <f t="shared" si="1"/>
        <v>0</v>
      </c>
      <c r="O13" s="69"/>
      <c r="P13" s="90">
        <f t="shared" si="2"/>
        <v>0</v>
      </c>
    </row>
    <row r="14" spans="1:16" x14ac:dyDescent="0.25">
      <c r="A14" s="67"/>
      <c r="B14" s="64"/>
      <c r="C14" s="64"/>
      <c r="D14" s="64"/>
      <c r="E14" s="64"/>
      <c r="F14" s="64"/>
      <c r="G14" s="64"/>
      <c r="H14" s="64"/>
      <c r="I14" s="74"/>
      <c r="J14" s="74"/>
      <c r="K14" s="88">
        <f t="shared" si="0"/>
        <v>0</v>
      </c>
      <c r="L14" s="68"/>
      <c r="M14" s="70"/>
      <c r="N14" s="89">
        <f t="shared" si="1"/>
        <v>0</v>
      </c>
      <c r="O14" s="69"/>
      <c r="P14" s="90">
        <f t="shared" si="2"/>
        <v>0</v>
      </c>
    </row>
    <row r="15" spans="1:16" x14ac:dyDescent="0.25">
      <c r="A15" s="67"/>
      <c r="B15" s="64"/>
      <c r="C15" s="64"/>
      <c r="D15" s="64"/>
      <c r="E15" s="64"/>
      <c r="F15" s="64"/>
      <c r="G15" s="64"/>
      <c r="H15" s="64"/>
      <c r="I15" s="68"/>
      <c r="J15" s="68"/>
      <c r="K15" s="88">
        <f t="shared" si="0"/>
        <v>0</v>
      </c>
      <c r="L15" s="68"/>
      <c r="M15" s="70"/>
      <c r="N15" s="89">
        <f t="shared" si="1"/>
        <v>0</v>
      </c>
      <c r="O15" s="69"/>
      <c r="P15" s="90">
        <f t="shared" si="2"/>
        <v>0</v>
      </c>
    </row>
    <row r="16" spans="1:16" x14ac:dyDescent="0.25">
      <c r="A16" s="67"/>
      <c r="B16" s="64"/>
      <c r="C16" s="64"/>
      <c r="D16" s="64"/>
      <c r="E16" s="64"/>
      <c r="F16" s="64"/>
      <c r="G16" s="64"/>
      <c r="H16" s="64"/>
      <c r="I16" s="68"/>
      <c r="J16" s="68"/>
      <c r="K16" s="88">
        <f t="shared" si="0"/>
        <v>0</v>
      </c>
      <c r="L16" s="68"/>
      <c r="M16" s="70"/>
      <c r="N16" s="89">
        <f t="shared" si="1"/>
        <v>0</v>
      </c>
      <c r="O16" s="69"/>
      <c r="P16" s="90">
        <f t="shared" si="2"/>
        <v>0</v>
      </c>
    </row>
    <row r="17" spans="1:16" x14ac:dyDescent="0.25">
      <c r="A17" s="67"/>
      <c r="B17" s="64"/>
      <c r="C17" s="64"/>
      <c r="D17" s="64"/>
      <c r="E17" s="64"/>
      <c r="F17" s="64"/>
      <c r="G17" s="64"/>
      <c r="H17" s="64"/>
      <c r="I17" s="68"/>
      <c r="J17" s="68"/>
      <c r="K17" s="88">
        <f t="shared" si="0"/>
        <v>0</v>
      </c>
      <c r="L17" s="68"/>
      <c r="M17" s="70"/>
      <c r="N17" s="89">
        <f t="shared" si="1"/>
        <v>0</v>
      </c>
      <c r="O17" s="69"/>
      <c r="P17" s="90">
        <f t="shared" si="2"/>
        <v>0</v>
      </c>
    </row>
    <row r="18" spans="1:16" x14ac:dyDescent="0.25">
      <c r="A18" s="75"/>
      <c r="B18" s="76"/>
      <c r="C18" s="76"/>
      <c r="D18" s="76"/>
      <c r="E18" s="76"/>
      <c r="F18" s="76"/>
      <c r="G18" s="76"/>
      <c r="H18" s="76"/>
      <c r="I18" s="73"/>
      <c r="J18" s="73"/>
      <c r="K18" s="88">
        <f t="shared" si="0"/>
        <v>0</v>
      </c>
      <c r="L18" s="73"/>
      <c r="M18" s="77"/>
      <c r="N18" s="89">
        <f t="shared" si="1"/>
        <v>0</v>
      </c>
      <c r="O18" s="78"/>
      <c r="P18" s="90">
        <f t="shared" si="2"/>
        <v>0</v>
      </c>
    </row>
    <row r="19" spans="1:16" x14ac:dyDescent="0.25">
      <c r="A19" s="127" t="s">
        <v>58</v>
      </c>
      <c r="B19" s="136"/>
      <c r="C19" s="136"/>
      <c r="D19" s="136"/>
      <c r="E19" s="136"/>
      <c r="F19" s="136"/>
      <c r="G19" s="136"/>
      <c r="H19" s="136"/>
      <c r="I19" s="136"/>
      <c r="J19" s="136"/>
      <c r="K19" s="136"/>
      <c r="L19" s="136"/>
      <c r="M19" s="136"/>
      <c r="N19" s="136"/>
      <c r="O19" s="136"/>
    </row>
    <row r="20" spans="1:16" x14ac:dyDescent="0.25">
      <c r="A20" s="137"/>
      <c r="B20" s="137"/>
      <c r="C20" s="137"/>
      <c r="D20" s="137"/>
      <c r="E20" s="137"/>
      <c r="F20" s="137"/>
      <c r="G20" s="137"/>
      <c r="H20" s="137"/>
      <c r="I20" s="137"/>
      <c r="J20" s="137"/>
      <c r="K20" s="137"/>
      <c r="L20" s="137"/>
      <c r="M20" s="137"/>
      <c r="N20" s="137"/>
      <c r="O20" s="137"/>
    </row>
    <row r="21" spans="1:16" x14ac:dyDescent="0.25">
      <c r="A21" s="137"/>
      <c r="B21" s="137"/>
      <c r="C21" s="137"/>
      <c r="D21" s="137"/>
      <c r="E21" s="137"/>
      <c r="F21" s="137"/>
      <c r="G21" s="137"/>
      <c r="H21" s="137"/>
      <c r="I21" s="137"/>
      <c r="J21" s="137"/>
      <c r="K21" s="137"/>
      <c r="L21" s="137"/>
      <c r="M21" s="137"/>
      <c r="N21" s="137"/>
      <c r="O21" s="137"/>
    </row>
    <row r="22" spans="1:16" ht="36.75" customHeight="1" x14ac:dyDescent="0.25">
      <c r="B22" s="123" t="s">
        <v>30</v>
      </c>
      <c r="C22" s="123"/>
      <c r="D22" s="123"/>
      <c r="E22" s="123"/>
      <c r="F22" s="123"/>
      <c r="G22" s="123"/>
      <c r="H22" s="123"/>
    </row>
  </sheetData>
  <sheetProtection sheet="1" objects="1" scenarios="1" insertRows="0"/>
  <mergeCells count="4">
    <mergeCell ref="A1:P5"/>
    <mergeCell ref="A6:P7"/>
    <mergeCell ref="A19:O21"/>
    <mergeCell ref="B22:H22"/>
  </mergeCells>
  <pageMargins left="0.59055118110236215" right="0.59055118110236215" top="0.59055118110236215" bottom="0.39370078740157483" header="0.31496062992125984" footer="0.31496062992125984"/>
  <pageSetup scale="53" fitToHeight="0" orientation="landscape"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0BA9B-86B9-4494-B317-F9074934E125}">
  <sheetPr>
    <pageSetUpPr fitToPage="1"/>
  </sheetPr>
  <dimension ref="A1:N26"/>
  <sheetViews>
    <sheetView zoomScale="80" zoomScaleNormal="80" workbookViewId="0">
      <selection activeCell="A13" sqref="A13:XFD13"/>
    </sheetView>
  </sheetViews>
  <sheetFormatPr baseColWidth="10" defaultRowHeight="15.75" x14ac:dyDescent="0.25"/>
  <cols>
    <col min="1" max="1" width="11.25" style="7" customWidth="1"/>
    <col min="2" max="2" width="11.625" style="7" customWidth="1"/>
    <col min="3" max="3" width="13.5" style="15" customWidth="1"/>
    <col min="4" max="4" width="16" style="15" customWidth="1"/>
    <col min="5" max="5" width="13.625" style="7" customWidth="1"/>
    <col min="6" max="7" width="11.625" style="7" customWidth="1"/>
    <col min="8" max="8" width="11" style="7"/>
    <col min="9" max="10" width="11.625" style="7" customWidth="1"/>
    <col min="11" max="16384" width="11" style="7"/>
  </cols>
  <sheetData>
    <row r="1" spans="1:12" x14ac:dyDescent="0.25">
      <c r="A1" s="105"/>
      <c r="B1" s="105"/>
      <c r="C1" s="105"/>
      <c r="D1" s="105"/>
      <c r="E1" s="105"/>
      <c r="F1" s="105"/>
      <c r="G1" s="105"/>
      <c r="H1" s="105"/>
      <c r="I1" s="105"/>
      <c r="J1" s="105"/>
      <c r="K1" s="105"/>
      <c r="L1" s="105"/>
    </row>
    <row r="2" spans="1:12" x14ac:dyDescent="0.25">
      <c r="A2" s="105"/>
      <c r="B2" s="105"/>
      <c r="C2" s="105"/>
      <c r="D2" s="105"/>
      <c r="E2" s="105"/>
      <c r="F2" s="105"/>
      <c r="G2" s="105"/>
      <c r="H2" s="105"/>
      <c r="I2" s="105"/>
      <c r="J2" s="105"/>
      <c r="K2" s="105"/>
      <c r="L2" s="105"/>
    </row>
    <row r="3" spans="1:12" x14ac:dyDescent="0.25">
      <c r="A3" s="105"/>
      <c r="B3" s="105"/>
      <c r="C3" s="105"/>
      <c r="D3" s="105"/>
      <c r="E3" s="105"/>
      <c r="F3" s="105"/>
      <c r="G3" s="105"/>
      <c r="H3" s="105"/>
      <c r="I3" s="105"/>
      <c r="J3" s="105"/>
      <c r="K3" s="105"/>
      <c r="L3" s="105"/>
    </row>
    <row r="4" spans="1:12" x14ac:dyDescent="0.25">
      <c r="A4" s="105"/>
      <c r="B4" s="105"/>
      <c r="C4" s="105"/>
      <c r="D4" s="105"/>
      <c r="E4" s="105"/>
      <c r="F4" s="105"/>
      <c r="G4" s="105"/>
      <c r="H4" s="105"/>
      <c r="I4" s="105"/>
      <c r="J4" s="105"/>
      <c r="K4" s="105"/>
      <c r="L4" s="105"/>
    </row>
    <row r="5" spans="1:12" x14ac:dyDescent="0.25">
      <c r="A5" s="105"/>
      <c r="B5" s="105"/>
      <c r="C5" s="105"/>
      <c r="D5" s="105"/>
      <c r="E5" s="105"/>
      <c r="F5" s="105"/>
      <c r="G5" s="105"/>
      <c r="H5" s="105"/>
      <c r="I5" s="105"/>
      <c r="J5" s="105"/>
      <c r="K5" s="105"/>
      <c r="L5" s="105"/>
    </row>
    <row r="6" spans="1:12" ht="15.75" customHeight="1" x14ac:dyDescent="0.25">
      <c r="A6" s="106" t="s">
        <v>31</v>
      </c>
      <c r="B6" s="106"/>
      <c r="C6" s="106"/>
      <c r="D6" s="106"/>
      <c r="E6" s="106"/>
      <c r="F6" s="106"/>
      <c r="G6" s="106"/>
      <c r="H6" s="106"/>
      <c r="I6" s="106"/>
      <c r="J6" s="106"/>
      <c r="K6" s="106"/>
      <c r="L6" s="106"/>
    </row>
    <row r="7" spans="1:12" ht="15.75" customHeight="1" x14ac:dyDescent="0.25">
      <c r="A7" s="106"/>
      <c r="B7" s="106"/>
      <c r="C7" s="106"/>
      <c r="D7" s="106"/>
      <c r="E7" s="106"/>
      <c r="F7" s="106"/>
      <c r="G7" s="106"/>
      <c r="H7" s="106"/>
      <c r="I7" s="106"/>
      <c r="J7" s="106"/>
      <c r="K7" s="106"/>
      <c r="L7" s="106"/>
    </row>
    <row r="8" spans="1:12" ht="59.25" customHeight="1" x14ac:dyDescent="0.25">
      <c r="A8" s="106" t="s">
        <v>0</v>
      </c>
      <c r="B8" s="106" t="s">
        <v>1</v>
      </c>
      <c r="C8" s="106" t="s">
        <v>38</v>
      </c>
      <c r="D8" s="106" t="s">
        <v>49</v>
      </c>
      <c r="E8" s="106" t="s">
        <v>50</v>
      </c>
      <c r="F8" s="106" t="s">
        <v>20</v>
      </c>
      <c r="G8" s="106" t="s">
        <v>14</v>
      </c>
      <c r="H8" s="107" t="s">
        <v>61</v>
      </c>
      <c r="I8" s="106" t="s">
        <v>3</v>
      </c>
      <c r="J8" s="106" t="s">
        <v>4</v>
      </c>
      <c r="K8" s="106" t="s">
        <v>5</v>
      </c>
      <c r="L8" s="106" t="s">
        <v>6</v>
      </c>
    </row>
    <row r="9" spans="1:12" x14ac:dyDescent="0.25">
      <c r="A9" s="106"/>
      <c r="B9" s="106"/>
      <c r="C9" s="106"/>
      <c r="D9" s="106"/>
      <c r="E9" s="106"/>
      <c r="F9" s="106"/>
      <c r="G9" s="106"/>
      <c r="H9" s="108"/>
      <c r="I9" s="106"/>
      <c r="J9" s="106"/>
      <c r="K9" s="106"/>
      <c r="L9" s="106"/>
    </row>
    <row r="10" spans="1:12" x14ac:dyDescent="0.25">
      <c r="A10" s="97" t="s">
        <v>63</v>
      </c>
      <c r="B10" s="98" t="s">
        <v>64</v>
      </c>
      <c r="C10" s="98" t="s">
        <v>65</v>
      </c>
      <c r="D10" s="98" t="s">
        <v>66</v>
      </c>
      <c r="E10" s="98" t="s">
        <v>67</v>
      </c>
      <c r="F10" s="98" t="s">
        <v>68</v>
      </c>
      <c r="G10" s="99" t="s">
        <v>69</v>
      </c>
      <c r="H10" s="99" t="s">
        <v>79</v>
      </c>
      <c r="I10" s="98" t="s">
        <v>71</v>
      </c>
      <c r="J10" s="98" t="s">
        <v>80</v>
      </c>
      <c r="K10" s="98" t="s">
        <v>70</v>
      </c>
      <c r="L10" s="100" t="s">
        <v>85</v>
      </c>
    </row>
    <row r="11" spans="1:12" x14ac:dyDescent="0.25">
      <c r="A11" s="93"/>
      <c r="B11" s="91"/>
      <c r="C11" s="91"/>
      <c r="D11" s="91"/>
      <c r="E11" s="91"/>
      <c r="F11" s="91"/>
      <c r="G11" s="92"/>
      <c r="H11" s="101">
        <f t="shared" ref="H11:H19" si="0">F11*G11</f>
        <v>0</v>
      </c>
      <c r="I11" s="91"/>
      <c r="J11" s="91"/>
      <c r="K11" s="102">
        <f t="shared" ref="K11:K19" si="1">I11+J11</f>
        <v>0</v>
      </c>
      <c r="L11" s="103">
        <f t="shared" ref="L11:L19" si="2">H11*K11*52/1000</f>
        <v>0</v>
      </c>
    </row>
    <row r="12" spans="1:12" x14ac:dyDescent="0.25">
      <c r="A12" s="93"/>
      <c r="B12" s="91"/>
      <c r="C12" s="91"/>
      <c r="D12" s="91"/>
      <c r="E12" s="91"/>
      <c r="F12" s="91"/>
      <c r="G12" s="92"/>
      <c r="H12" s="101">
        <f t="shared" si="0"/>
        <v>0</v>
      </c>
      <c r="I12" s="91"/>
      <c r="J12" s="91"/>
      <c r="K12" s="102">
        <f t="shared" si="1"/>
        <v>0</v>
      </c>
      <c r="L12" s="103">
        <f t="shared" si="2"/>
        <v>0</v>
      </c>
    </row>
    <row r="13" spans="1:12" x14ac:dyDescent="0.25">
      <c r="A13" s="93"/>
      <c r="B13" s="91"/>
      <c r="C13" s="91"/>
      <c r="D13" s="91"/>
      <c r="E13" s="91"/>
      <c r="F13" s="91"/>
      <c r="G13" s="92"/>
      <c r="H13" s="101">
        <f t="shared" si="0"/>
        <v>0</v>
      </c>
      <c r="I13" s="91"/>
      <c r="J13" s="91"/>
      <c r="K13" s="102">
        <f t="shared" si="1"/>
        <v>0</v>
      </c>
      <c r="L13" s="103">
        <f t="shared" si="2"/>
        <v>0</v>
      </c>
    </row>
    <row r="14" spans="1:12" x14ac:dyDescent="0.25">
      <c r="A14" s="93"/>
      <c r="B14" s="91"/>
      <c r="C14" s="91"/>
      <c r="D14" s="91"/>
      <c r="E14" s="91"/>
      <c r="F14" s="91"/>
      <c r="G14" s="92"/>
      <c r="H14" s="101">
        <f t="shared" si="0"/>
        <v>0</v>
      </c>
      <c r="I14" s="91"/>
      <c r="J14" s="91"/>
      <c r="K14" s="102">
        <f t="shared" si="1"/>
        <v>0</v>
      </c>
      <c r="L14" s="103">
        <f t="shared" si="2"/>
        <v>0</v>
      </c>
    </row>
    <row r="15" spans="1:12" x14ac:dyDescent="0.25">
      <c r="A15" s="93"/>
      <c r="B15" s="91"/>
      <c r="C15" s="91"/>
      <c r="D15" s="91"/>
      <c r="E15" s="91"/>
      <c r="F15" s="91"/>
      <c r="G15" s="92"/>
      <c r="H15" s="101">
        <f t="shared" si="0"/>
        <v>0</v>
      </c>
      <c r="I15" s="91"/>
      <c r="J15" s="91"/>
      <c r="K15" s="102">
        <f t="shared" si="1"/>
        <v>0</v>
      </c>
      <c r="L15" s="103">
        <f t="shared" si="2"/>
        <v>0</v>
      </c>
    </row>
    <row r="16" spans="1:12" x14ac:dyDescent="0.25">
      <c r="A16" s="93"/>
      <c r="B16" s="91"/>
      <c r="C16" s="91"/>
      <c r="D16" s="91"/>
      <c r="E16" s="91"/>
      <c r="F16" s="91"/>
      <c r="G16" s="92"/>
      <c r="H16" s="101">
        <f t="shared" si="0"/>
        <v>0</v>
      </c>
      <c r="I16" s="91"/>
      <c r="J16" s="91"/>
      <c r="K16" s="102">
        <f t="shared" si="1"/>
        <v>0</v>
      </c>
      <c r="L16" s="103">
        <f t="shared" si="2"/>
        <v>0</v>
      </c>
    </row>
    <row r="17" spans="1:14" x14ac:dyDescent="0.25">
      <c r="A17" s="93"/>
      <c r="B17" s="91"/>
      <c r="C17" s="91"/>
      <c r="D17" s="91"/>
      <c r="E17" s="91"/>
      <c r="F17" s="91"/>
      <c r="G17" s="92"/>
      <c r="H17" s="101">
        <f t="shared" si="0"/>
        <v>0</v>
      </c>
      <c r="I17" s="91"/>
      <c r="J17" s="91"/>
      <c r="K17" s="102">
        <f t="shared" si="1"/>
        <v>0</v>
      </c>
      <c r="L17" s="103">
        <f t="shared" si="2"/>
        <v>0</v>
      </c>
    </row>
    <row r="18" spans="1:14" x14ac:dyDescent="0.25">
      <c r="A18" s="93"/>
      <c r="B18" s="91"/>
      <c r="C18" s="91"/>
      <c r="D18" s="91"/>
      <c r="E18" s="91"/>
      <c r="F18" s="91"/>
      <c r="G18" s="92"/>
      <c r="H18" s="101">
        <f t="shared" si="0"/>
        <v>0</v>
      </c>
      <c r="I18" s="91"/>
      <c r="J18" s="91"/>
      <c r="K18" s="102">
        <f t="shared" si="1"/>
        <v>0</v>
      </c>
      <c r="L18" s="103">
        <f t="shared" si="2"/>
        <v>0</v>
      </c>
    </row>
    <row r="19" spans="1:14" x14ac:dyDescent="0.25">
      <c r="A19" s="94"/>
      <c r="B19" s="95"/>
      <c r="C19" s="95"/>
      <c r="D19" s="95"/>
      <c r="E19" s="95"/>
      <c r="F19" s="95"/>
      <c r="G19" s="96"/>
      <c r="H19" s="101">
        <f t="shared" si="0"/>
        <v>0</v>
      </c>
      <c r="I19" s="95"/>
      <c r="J19" s="95"/>
      <c r="K19" s="102">
        <f t="shared" si="1"/>
        <v>0</v>
      </c>
      <c r="L19" s="103">
        <f t="shared" si="2"/>
        <v>0</v>
      </c>
    </row>
    <row r="20" spans="1:14" x14ac:dyDescent="0.25">
      <c r="C20" s="7"/>
      <c r="D20" s="7"/>
    </row>
    <row r="21" spans="1:14" x14ac:dyDescent="0.25">
      <c r="A21" s="110" t="s">
        <v>57</v>
      </c>
      <c r="B21" s="137"/>
      <c r="C21" s="137"/>
      <c r="D21" s="137"/>
      <c r="E21" s="137"/>
      <c r="F21" s="137"/>
      <c r="G21" s="137"/>
      <c r="H21" s="137"/>
      <c r="I21" s="137"/>
      <c r="J21" s="137"/>
      <c r="K21" s="137"/>
      <c r="L21" s="137"/>
      <c r="M21" s="137"/>
      <c r="N21" s="137"/>
    </row>
    <row r="22" spans="1:14" x14ac:dyDescent="0.25">
      <c r="A22" s="137"/>
      <c r="B22" s="137"/>
      <c r="C22" s="137"/>
      <c r="D22" s="137"/>
      <c r="E22" s="137"/>
      <c r="F22" s="137"/>
      <c r="G22" s="137"/>
      <c r="H22" s="137"/>
      <c r="I22" s="137"/>
      <c r="J22" s="137"/>
      <c r="K22" s="137"/>
      <c r="L22" s="137"/>
      <c r="M22" s="137"/>
      <c r="N22" s="137"/>
    </row>
    <row r="23" spans="1:14" x14ac:dyDescent="0.25">
      <c r="C23" s="7"/>
      <c r="D23" s="7"/>
    </row>
    <row r="24" spans="1:14" x14ac:dyDescent="0.25">
      <c r="B24" s="109" t="s">
        <v>32</v>
      </c>
      <c r="C24" s="128"/>
      <c r="D24" s="128"/>
      <c r="E24" s="128"/>
      <c r="F24" s="128"/>
      <c r="G24" s="128"/>
      <c r="H24" s="128"/>
      <c r="I24" s="128"/>
      <c r="J24" s="128"/>
      <c r="K24" s="128"/>
      <c r="L24" s="128"/>
    </row>
    <row r="25" spans="1:14" x14ac:dyDescent="0.25">
      <c r="B25" s="128"/>
      <c r="C25" s="128"/>
      <c r="D25" s="128"/>
      <c r="E25" s="128"/>
      <c r="F25" s="128"/>
      <c r="G25" s="128"/>
      <c r="H25" s="128"/>
      <c r="I25" s="128"/>
      <c r="J25" s="128"/>
      <c r="K25" s="128"/>
      <c r="L25" s="128"/>
    </row>
    <row r="26" spans="1:14" x14ac:dyDescent="0.25">
      <c r="B26" s="128"/>
      <c r="C26" s="128"/>
      <c r="D26" s="128"/>
      <c r="E26" s="128"/>
      <c r="F26" s="128"/>
      <c r="G26" s="128"/>
      <c r="H26" s="128"/>
      <c r="I26" s="128"/>
      <c r="J26" s="128"/>
      <c r="K26" s="128"/>
      <c r="L26" s="128"/>
    </row>
  </sheetData>
  <sheetProtection sheet="1" objects="1" scenarios="1" insertRows="0"/>
  <mergeCells count="16">
    <mergeCell ref="A21:N22"/>
    <mergeCell ref="B24:L26"/>
    <mergeCell ref="K8:K9"/>
    <mergeCell ref="A6:L7"/>
    <mergeCell ref="A1:L5"/>
    <mergeCell ref="L8:L9"/>
    <mergeCell ref="C8:C9"/>
    <mergeCell ref="F8:F9"/>
    <mergeCell ref="G8:G9"/>
    <mergeCell ref="I8:I9"/>
    <mergeCell ref="J8:J9"/>
    <mergeCell ref="A8:A9"/>
    <mergeCell ref="B8:B9"/>
    <mergeCell ref="D8:D9"/>
    <mergeCell ref="E8:E9"/>
    <mergeCell ref="H8:H9"/>
  </mergeCells>
  <pageMargins left="0.59055118110236227" right="0.59055118110236227" top="0.59055118110236227" bottom="0.39370078740157483" header="0.31496062992125984" footer="0.31496062992125984"/>
  <pageSetup scale="69" fitToHeight="0" orientation="landscape"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F9A59-1583-4328-9321-A7A8B9F2EC2B}">
  <sheetPr>
    <pageSetUpPr fitToPage="1"/>
  </sheetPr>
  <dimension ref="A1:L30"/>
  <sheetViews>
    <sheetView zoomScale="70" zoomScaleNormal="70" workbookViewId="0">
      <selection activeCell="A13" sqref="A13:XFD13"/>
    </sheetView>
  </sheetViews>
  <sheetFormatPr baseColWidth="10" defaultRowHeight="15.75" x14ac:dyDescent="0.25"/>
  <cols>
    <col min="1" max="2" width="11" style="7"/>
    <col min="3" max="3" width="13.5" style="15" customWidth="1"/>
    <col min="4" max="4" width="16" style="15" customWidth="1"/>
    <col min="5" max="5" width="12.625" style="7" customWidth="1"/>
    <col min="6" max="16384" width="11" style="7"/>
  </cols>
  <sheetData>
    <row r="1" spans="1:12" x14ac:dyDescent="0.25">
      <c r="A1" s="105"/>
      <c r="B1" s="105"/>
      <c r="C1" s="105"/>
      <c r="D1" s="105"/>
      <c r="E1" s="105"/>
      <c r="F1" s="105"/>
      <c r="G1" s="105"/>
      <c r="H1" s="105"/>
      <c r="I1" s="105"/>
      <c r="J1" s="105"/>
      <c r="K1" s="105"/>
      <c r="L1" s="105"/>
    </row>
    <row r="2" spans="1:12" x14ac:dyDescent="0.25">
      <c r="A2" s="105"/>
      <c r="B2" s="105"/>
      <c r="C2" s="105"/>
      <c r="D2" s="105"/>
      <c r="E2" s="105"/>
      <c r="F2" s="105"/>
      <c r="G2" s="105"/>
      <c r="H2" s="105"/>
      <c r="I2" s="105"/>
      <c r="J2" s="105"/>
      <c r="K2" s="105"/>
      <c r="L2" s="105"/>
    </row>
    <row r="3" spans="1:12" x14ac:dyDescent="0.25">
      <c r="A3" s="105"/>
      <c r="B3" s="105"/>
      <c r="C3" s="105"/>
      <c r="D3" s="105"/>
      <c r="E3" s="105"/>
      <c r="F3" s="105"/>
      <c r="G3" s="105"/>
      <c r="H3" s="105"/>
      <c r="I3" s="105"/>
      <c r="J3" s="105"/>
      <c r="K3" s="105"/>
      <c r="L3" s="105"/>
    </row>
    <row r="4" spans="1:12" x14ac:dyDescent="0.25">
      <c r="A4" s="105"/>
      <c r="B4" s="105"/>
      <c r="C4" s="105"/>
      <c r="D4" s="105"/>
      <c r="E4" s="105"/>
      <c r="F4" s="105"/>
      <c r="G4" s="105"/>
      <c r="H4" s="105"/>
      <c r="I4" s="105"/>
      <c r="J4" s="105"/>
      <c r="K4" s="105"/>
      <c r="L4" s="105"/>
    </row>
    <row r="5" spans="1:12" x14ac:dyDescent="0.25">
      <c r="A5" s="105"/>
      <c r="B5" s="105"/>
      <c r="C5" s="105"/>
      <c r="D5" s="105"/>
      <c r="E5" s="105"/>
      <c r="F5" s="105"/>
      <c r="G5" s="105"/>
      <c r="H5" s="105"/>
      <c r="I5" s="105"/>
      <c r="J5" s="105"/>
      <c r="K5" s="105"/>
      <c r="L5" s="105"/>
    </row>
    <row r="6" spans="1:12" ht="15.75" customHeight="1" x14ac:dyDescent="0.25">
      <c r="A6" s="106" t="s">
        <v>33</v>
      </c>
      <c r="B6" s="106"/>
      <c r="C6" s="106"/>
      <c r="D6" s="106"/>
      <c r="E6" s="106"/>
      <c r="F6" s="106"/>
      <c r="G6" s="106"/>
      <c r="H6" s="106"/>
      <c r="I6" s="106"/>
      <c r="J6" s="106"/>
      <c r="K6" s="106"/>
      <c r="L6" s="106"/>
    </row>
    <row r="7" spans="1:12" ht="15.75" customHeight="1" x14ac:dyDescent="0.25">
      <c r="A7" s="106"/>
      <c r="B7" s="106"/>
      <c r="C7" s="106"/>
      <c r="D7" s="106"/>
      <c r="E7" s="106"/>
      <c r="F7" s="106"/>
      <c r="G7" s="106"/>
      <c r="H7" s="106"/>
      <c r="I7" s="106"/>
      <c r="J7" s="106"/>
      <c r="K7" s="106"/>
      <c r="L7" s="106"/>
    </row>
    <row r="8" spans="1:12" ht="59.25" customHeight="1" x14ac:dyDescent="0.25">
      <c r="A8" s="106" t="s">
        <v>0</v>
      </c>
      <c r="B8" s="106" t="s">
        <v>1</v>
      </c>
      <c r="C8" s="106" t="s">
        <v>38</v>
      </c>
      <c r="D8" s="106" t="s">
        <v>54</v>
      </c>
      <c r="E8" s="106" t="s">
        <v>23</v>
      </c>
      <c r="F8" s="106" t="s">
        <v>20</v>
      </c>
      <c r="G8" s="106" t="s">
        <v>14</v>
      </c>
      <c r="H8" s="107" t="s">
        <v>61</v>
      </c>
      <c r="I8" s="107" t="s">
        <v>3</v>
      </c>
      <c r="J8" s="106" t="s">
        <v>4</v>
      </c>
      <c r="K8" s="106" t="s">
        <v>5</v>
      </c>
      <c r="L8" s="106" t="s">
        <v>6</v>
      </c>
    </row>
    <row r="9" spans="1:12" x14ac:dyDescent="0.25">
      <c r="A9" s="106"/>
      <c r="B9" s="106"/>
      <c r="C9" s="106"/>
      <c r="D9" s="106"/>
      <c r="E9" s="106"/>
      <c r="F9" s="106"/>
      <c r="G9" s="106"/>
      <c r="H9" s="108"/>
      <c r="I9" s="108"/>
      <c r="J9" s="106"/>
      <c r="K9" s="106"/>
      <c r="L9" s="106"/>
    </row>
    <row r="10" spans="1:12" x14ac:dyDescent="0.25">
      <c r="A10" s="97" t="s">
        <v>63</v>
      </c>
      <c r="B10" s="98" t="s">
        <v>64</v>
      </c>
      <c r="C10" s="98" t="s">
        <v>65</v>
      </c>
      <c r="D10" s="98" t="s">
        <v>66</v>
      </c>
      <c r="E10" s="98" t="s">
        <v>67</v>
      </c>
      <c r="F10" s="98" t="s">
        <v>68</v>
      </c>
      <c r="G10" s="99" t="s">
        <v>69</v>
      </c>
      <c r="H10" s="99" t="s">
        <v>79</v>
      </c>
      <c r="I10" s="98" t="s">
        <v>71</v>
      </c>
      <c r="J10" s="98" t="s">
        <v>80</v>
      </c>
      <c r="K10" s="98" t="s">
        <v>70</v>
      </c>
      <c r="L10" s="100" t="s">
        <v>85</v>
      </c>
    </row>
    <row r="11" spans="1:12" x14ac:dyDescent="0.25">
      <c r="A11" s="93"/>
      <c r="B11" s="91"/>
      <c r="C11" s="91"/>
      <c r="D11" s="91"/>
      <c r="E11" s="91"/>
      <c r="F11" s="91"/>
      <c r="G11" s="92"/>
      <c r="H11" s="101">
        <f t="shared" ref="H11:H22" si="0">F11*G11</f>
        <v>0</v>
      </c>
      <c r="I11" s="91"/>
      <c r="J11" s="91"/>
      <c r="K11" s="102">
        <f t="shared" ref="K11:K22" si="1">I11+J11</f>
        <v>0</v>
      </c>
      <c r="L11" s="103">
        <f t="shared" ref="L11:L22" si="2">H11*K11*52/1000</f>
        <v>0</v>
      </c>
    </row>
    <row r="12" spans="1:12" x14ac:dyDescent="0.25">
      <c r="A12" s="93"/>
      <c r="B12" s="91"/>
      <c r="C12" s="91"/>
      <c r="D12" s="91"/>
      <c r="E12" s="91"/>
      <c r="F12" s="91"/>
      <c r="G12" s="92"/>
      <c r="H12" s="101">
        <f t="shared" si="0"/>
        <v>0</v>
      </c>
      <c r="I12" s="91"/>
      <c r="J12" s="91"/>
      <c r="K12" s="102">
        <f t="shared" si="1"/>
        <v>0</v>
      </c>
      <c r="L12" s="103">
        <f t="shared" si="2"/>
        <v>0</v>
      </c>
    </row>
    <row r="13" spans="1:12" x14ac:dyDescent="0.25">
      <c r="A13" s="93"/>
      <c r="B13" s="91"/>
      <c r="C13" s="91"/>
      <c r="D13" s="91"/>
      <c r="E13" s="91"/>
      <c r="F13" s="91"/>
      <c r="G13" s="92"/>
      <c r="H13" s="101">
        <f t="shared" si="0"/>
        <v>0</v>
      </c>
      <c r="I13" s="91"/>
      <c r="J13" s="91"/>
      <c r="K13" s="102">
        <f t="shared" si="1"/>
        <v>0</v>
      </c>
      <c r="L13" s="103">
        <f t="shared" si="2"/>
        <v>0</v>
      </c>
    </row>
    <row r="14" spans="1:12" x14ac:dyDescent="0.25">
      <c r="A14" s="93"/>
      <c r="B14" s="91"/>
      <c r="C14" s="91"/>
      <c r="D14" s="91"/>
      <c r="E14" s="91"/>
      <c r="F14" s="91"/>
      <c r="G14" s="92"/>
      <c r="H14" s="101">
        <f t="shared" si="0"/>
        <v>0</v>
      </c>
      <c r="I14" s="91"/>
      <c r="J14" s="91"/>
      <c r="K14" s="102">
        <f t="shared" si="1"/>
        <v>0</v>
      </c>
      <c r="L14" s="103">
        <f t="shared" si="2"/>
        <v>0</v>
      </c>
    </row>
    <row r="15" spans="1:12" x14ac:dyDescent="0.25">
      <c r="A15" s="93"/>
      <c r="B15" s="91"/>
      <c r="C15" s="91"/>
      <c r="D15" s="91"/>
      <c r="E15" s="91"/>
      <c r="F15" s="91"/>
      <c r="G15" s="92"/>
      <c r="H15" s="101">
        <f t="shared" si="0"/>
        <v>0</v>
      </c>
      <c r="I15" s="91"/>
      <c r="J15" s="91"/>
      <c r="K15" s="102">
        <f t="shared" si="1"/>
        <v>0</v>
      </c>
      <c r="L15" s="103">
        <f t="shared" si="2"/>
        <v>0</v>
      </c>
    </row>
    <row r="16" spans="1:12" x14ac:dyDescent="0.25">
      <c r="A16" s="93"/>
      <c r="B16" s="91"/>
      <c r="C16" s="91"/>
      <c r="D16" s="91"/>
      <c r="E16" s="91"/>
      <c r="F16" s="91"/>
      <c r="G16" s="92"/>
      <c r="H16" s="101">
        <f t="shared" si="0"/>
        <v>0</v>
      </c>
      <c r="I16" s="91"/>
      <c r="J16" s="91"/>
      <c r="K16" s="102">
        <f t="shared" si="1"/>
        <v>0</v>
      </c>
      <c r="L16" s="103">
        <f t="shared" si="2"/>
        <v>0</v>
      </c>
    </row>
    <row r="17" spans="1:12" x14ac:dyDescent="0.25">
      <c r="A17" s="93"/>
      <c r="B17" s="91"/>
      <c r="C17" s="91"/>
      <c r="D17" s="91"/>
      <c r="E17" s="91"/>
      <c r="F17" s="91"/>
      <c r="G17" s="92"/>
      <c r="H17" s="101">
        <f t="shared" si="0"/>
        <v>0</v>
      </c>
      <c r="I17" s="91"/>
      <c r="J17" s="91"/>
      <c r="K17" s="102">
        <f t="shared" si="1"/>
        <v>0</v>
      </c>
      <c r="L17" s="103">
        <f t="shared" si="2"/>
        <v>0</v>
      </c>
    </row>
    <row r="18" spans="1:12" x14ac:dyDescent="0.25">
      <c r="A18" s="93"/>
      <c r="B18" s="91"/>
      <c r="C18" s="91"/>
      <c r="D18" s="91"/>
      <c r="E18" s="91"/>
      <c r="F18" s="91"/>
      <c r="G18" s="92"/>
      <c r="H18" s="101">
        <f t="shared" si="0"/>
        <v>0</v>
      </c>
      <c r="I18" s="91"/>
      <c r="J18" s="91"/>
      <c r="K18" s="102">
        <f t="shared" si="1"/>
        <v>0</v>
      </c>
      <c r="L18" s="103">
        <f t="shared" si="2"/>
        <v>0</v>
      </c>
    </row>
    <row r="19" spans="1:12" x14ac:dyDescent="0.25">
      <c r="A19" s="93"/>
      <c r="B19" s="91"/>
      <c r="C19" s="91"/>
      <c r="D19" s="91"/>
      <c r="E19" s="91"/>
      <c r="F19" s="91"/>
      <c r="G19" s="92"/>
      <c r="H19" s="101">
        <f t="shared" si="0"/>
        <v>0</v>
      </c>
      <c r="I19" s="91"/>
      <c r="J19" s="91"/>
      <c r="K19" s="102">
        <f t="shared" si="1"/>
        <v>0</v>
      </c>
      <c r="L19" s="103">
        <f t="shared" si="2"/>
        <v>0</v>
      </c>
    </row>
    <row r="20" spans="1:12" x14ac:dyDescent="0.25">
      <c r="A20" s="93"/>
      <c r="B20" s="91"/>
      <c r="C20" s="91"/>
      <c r="D20" s="91"/>
      <c r="E20" s="91"/>
      <c r="F20" s="91"/>
      <c r="G20" s="92"/>
      <c r="H20" s="101">
        <f t="shared" si="0"/>
        <v>0</v>
      </c>
      <c r="I20" s="91"/>
      <c r="J20" s="91"/>
      <c r="K20" s="102">
        <f t="shared" si="1"/>
        <v>0</v>
      </c>
      <c r="L20" s="103">
        <f t="shared" si="2"/>
        <v>0</v>
      </c>
    </row>
    <row r="21" spans="1:12" x14ac:dyDescent="0.25">
      <c r="A21" s="93"/>
      <c r="B21" s="91"/>
      <c r="C21" s="91"/>
      <c r="D21" s="91"/>
      <c r="E21" s="91"/>
      <c r="F21" s="91"/>
      <c r="G21" s="92"/>
      <c r="H21" s="101">
        <f t="shared" si="0"/>
        <v>0</v>
      </c>
      <c r="I21" s="91"/>
      <c r="J21" s="91"/>
      <c r="K21" s="102">
        <f t="shared" si="1"/>
        <v>0</v>
      </c>
      <c r="L21" s="103">
        <f t="shared" si="2"/>
        <v>0</v>
      </c>
    </row>
    <row r="22" spans="1:12" x14ac:dyDescent="0.25">
      <c r="A22" s="94"/>
      <c r="B22" s="95"/>
      <c r="C22" s="95"/>
      <c r="D22" s="95"/>
      <c r="E22" s="95"/>
      <c r="F22" s="95"/>
      <c r="G22" s="96"/>
      <c r="H22" s="101">
        <f t="shared" si="0"/>
        <v>0</v>
      </c>
      <c r="I22" s="95"/>
      <c r="J22" s="95"/>
      <c r="K22" s="102">
        <f t="shared" si="1"/>
        <v>0</v>
      </c>
      <c r="L22" s="103">
        <f t="shared" si="2"/>
        <v>0</v>
      </c>
    </row>
    <row r="24" spans="1:12" ht="32.25" customHeight="1" x14ac:dyDescent="0.25">
      <c r="A24" s="110" t="s">
        <v>55</v>
      </c>
      <c r="B24" s="110"/>
      <c r="C24" s="110"/>
      <c r="D24" s="110"/>
      <c r="E24" s="110"/>
      <c r="F24" s="110"/>
      <c r="G24" s="110"/>
      <c r="H24" s="110"/>
      <c r="I24" s="110"/>
      <c r="J24" s="110"/>
      <c r="K24" s="110"/>
      <c r="L24" s="110"/>
    </row>
    <row r="25" spans="1:12" ht="22.5" customHeight="1" x14ac:dyDescent="0.25">
      <c r="A25" s="110"/>
      <c r="B25" s="110"/>
      <c r="C25" s="110"/>
      <c r="D25" s="110"/>
      <c r="E25" s="110"/>
      <c r="F25" s="110"/>
      <c r="G25" s="110"/>
      <c r="H25" s="110"/>
      <c r="I25" s="110"/>
      <c r="J25" s="110"/>
      <c r="K25" s="110"/>
      <c r="L25" s="110"/>
    </row>
    <row r="26" spans="1:12" ht="9.75" customHeight="1" x14ac:dyDescent="0.25">
      <c r="A26" s="110"/>
      <c r="B26" s="110"/>
      <c r="C26" s="110"/>
      <c r="D26" s="110"/>
      <c r="E26" s="110"/>
      <c r="F26" s="110"/>
      <c r="G26" s="110"/>
      <c r="H26" s="110"/>
      <c r="I26" s="110"/>
      <c r="J26" s="110"/>
      <c r="K26" s="110"/>
      <c r="L26" s="110"/>
    </row>
    <row r="27" spans="1:12" x14ac:dyDescent="0.25">
      <c r="C27" s="7"/>
      <c r="D27" s="7"/>
    </row>
    <row r="28" spans="1:12" x14ac:dyDescent="0.25">
      <c r="C28" s="109" t="s">
        <v>35</v>
      </c>
      <c r="D28" s="128"/>
      <c r="E28" s="128"/>
      <c r="F28" s="128"/>
      <c r="G28" s="128"/>
      <c r="H28" s="128"/>
      <c r="I28" s="128"/>
      <c r="J28" s="128"/>
      <c r="K28" s="128"/>
      <c r="L28" s="128"/>
    </row>
    <row r="29" spans="1:12" x14ac:dyDescent="0.25">
      <c r="C29" s="128"/>
      <c r="D29" s="128"/>
      <c r="E29" s="128"/>
      <c r="F29" s="128"/>
      <c r="G29" s="128"/>
      <c r="H29" s="128"/>
      <c r="I29" s="128"/>
      <c r="J29" s="128"/>
      <c r="K29" s="128"/>
      <c r="L29" s="128"/>
    </row>
    <row r="30" spans="1:12" x14ac:dyDescent="0.25">
      <c r="A30" s="7" t="s">
        <v>25</v>
      </c>
    </row>
  </sheetData>
  <sheetProtection sheet="1" objects="1" scenarios="1" insertRows="0"/>
  <mergeCells count="16">
    <mergeCell ref="C28:L29"/>
    <mergeCell ref="A1:L5"/>
    <mergeCell ref="A6:L7"/>
    <mergeCell ref="A8:A9"/>
    <mergeCell ref="B8:B9"/>
    <mergeCell ref="C8:C9"/>
    <mergeCell ref="D8:D9"/>
    <mergeCell ref="E8:E9"/>
    <mergeCell ref="F8:F9"/>
    <mergeCell ref="G8:G9"/>
    <mergeCell ref="I8:I9"/>
    <mergeCell ref="J8:J9"/>
    <mergeCell ref="K8:K9"/>
    <mergeCell ref="L8:L9"/>
    <mergeCell ref="A24:L26"/>
    <mergeCell ref="H8:H9"/>
  </mergeCells>
  <pageMargins left="0.59055118110236227" right="0.59055118110236227" top="0.59055118110236227" bottom="0.39370078740157483" header="0.31496062992125984" footer="0.31496062992125984"/>
  <pageSetup scale="88" fitToHeight="0" orientation="landscape"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95F8C-59C1-4D82-89D8-E3BFAC073E06}">
  <dimension ref="A1:O32"/>
  <sheetViews>
    <sheetView zoomScale="70" zoomScaleNormal="70" workbookViewId="0">
      <selection activeCell="A13" sqref="A13:XFD13"/>
    </sheetView>
  </sheetViews>
  <sheetFormatPr baseColWidth="10" defaultRowHeight="15.75" x14ac:dyDescent="0.25"/>
  <cols>
    <col min="1" max="4" width="11" style="7"/>
    <col min="5" max="5" width="13.125" style="7" customWidth="1"/>
    <col min="6" max="9" width="11" style="7"/>
    <col min="10" max="10" width="12.375" style="7" customWidth="1"/>
    <col min="11" max="11" width="14.5" style="7" customWidth="1"/>
    <col min="12" max="16384" width="11" style="7"/>
  </cols>
  <sheetData>
    <row r="1" spans="1:12" x14ac:dyDescent="0.25">
      <c r="A1" s="105"/>
      <c r="B1" s="105"/>
      <c r="C1" s="105"/>
      <c r="D1" s="105"/>
      <c r="E1" s="105"/>
      <c r="F1" s="105"/>
      <c r="G1" s="105"/>
      <c r="H1" s="105"/>
      <c r="I1" s="105"/>
      <c r="J1" s="105"/>
      <c r="K1" s="105"/>
      <c r="L1" s="105"/>
    </row>
    <row r="2" spans="1:12" x14ac:dyDescent="0.25">
      <c r="A2" s="105"/>
      <c r="B2" s="105"/>
      <c r="C2" s="105"/>
      <c r="D2" s="105"/>
      <c r="E2" s="105"/>
      <c r="F2" s="105"/>
      <c r="G2" s="105"/>
      <c r="H2" s="105"/>
      <c r="I2" s="105"/>
      <c r="J2" s="105"/>
      <c r="K2" s="105"/>
      <c r="L2" s="105"/>
    </row>
    <row r="3" spans="1:12" x14ac:dyDescent="0.25">
      <c r="A3" s="105"/>
      <c r="B3" s="105"/>
      <c r="C3" s="105"/>
      <c r="D3" s="105"/>
      <c r="E3" s="105"/>
      <c r="F3" s="105"/>
      <c r="G3" s="105"/>
      <c r="H3" s="105"/>
      <c r="I3" s="105"/>
      <c r="J3" s="105"/>
      <c r="K3" s="105"/>
      <c r="L3" s="105"/>
    </row>
    <row r="4" spans="1:12" x14ac:dyDescent="0.25">
      <c r="A4" s="105"/>
      <c r="B4" s="105"/>
      <c r="C4" s="105"/>
      <c r="D4" s="105"/>
      <c r="E4" s="105"/>
      <c r="F4" s="105"/>
      <c r="G4" s="105"/>
      <c r="H4" s="105"/>
      <c r="I4" s="105"/>
      <c r="J4" s="105"/>
      <c r="K4" s="105"/>
      <c r="L4" s="105"/>
    </row>
    <row r="5" spans="1:12" x14ac:dyDescent="0.25">
      <c r="A5" s="105"/>
      <c r="B5" s="105"/>
      <c r="C5" s="105"/>
      <c r="D5" s="105"/>
      <c r="E5" s="105"/>
      <c r="F5" s="105"/>
      <c r="G5" s="105"/>
      <c r="H5" s="105"/>
      <c r="I5" s="105"/>
      <c r="J5" s="105"/>
      <c r="K5" s="105"/>
      <c r="L5" s="105"/>
    </row>
    <row r="6" spans="1:12" x14ac:dyDescent="0.25">
      <c r="A6" s="106" t="s">
        <v>36</v>
      </c>
      <c r="B6" s="106"/>
      <c r="C6" s="106"/>
      <c r="D6" s="106"/>
      <c r="E6" s="106"/>
      <c r="F6" s="106"/>
      <c r="G6" s="106"/>
      <c r="H6" s="106"/>
      <c r="I6" s="106"/>
      <c r="J6" s="106"/>
      <c r="K6" s="106"/>
      <c r="L6" s="106"/>
    </row>
    <row r="7" spans="1:12" x14ac:dyDescent="0.25">
      <c r="A7" s="106"/>
      <c r="B7" s="106"/>
      <c r="C7" s="106"/>
      <c r="D7" s="106"/>
      <c r="E7" s="106"/>
      <c r="F7" s="106"/>
      <c r="G7" s="106"/>
      <c r="H7" s="106"/>
      <c r="I7" s="106"/>
      <c r="J7" s="106"/>
      <c r="K7" s="106"/>
      <c r="L7" s="106"/>
    </row>
    <row r="8" spans="1:12" x14ac:dyDescent="0.25">
      <c r="A8" s="106" t="s">
        <v>0</v>
      </c>
      <c r="B8" s="106" t="s">
        <v>1</v>
      </c>
      <c r="C8" s="106" t="s">
        <v>38</v>
      </c>
      <c r="D8" s="106" t="s">
        <v>54</v>
      </c>
      <c r="E8" s="106" t="s">
        <v>56</v>
      </c>
      <c r="F8" s="106" t="s">
        <v>20</v>
      </c>
      <c r="G8" s="106" t="s">
        <v>14</v>
      </c>
      <c r="H8" s="107" t="s">
        <v>61</v>
      </c>
      <c r="I8" s="106" t="s">
        <v>3</v>
      </c>
      <c r="J8" s="106" t="s">
        <v>4</v>
      </c>
      <c r="K8" s="106" t="s">
        <v>5</v>
      </c>
      <c r="L8" s="106" t="s">
        <v>6</v>
      </c>
    </row>
    <row r="9" spans="1:12" ht="37.5" customHeight="1" x14ac:dyDescent="0.25">
      <c r="A9" s="106"/>
      <c r="B9" s="106"/>
      <c r="C9" s="106"/>
      <c r="D9" s="106"/>
      <c r="E9" s="106"/>
      <c r="F9" s="106"/>
      <c r="G9" s="106"/>
      <c r="H9" s="108"/>
      <c r="I9" s="106"/>
      <c r="J9" s="106"/>
      <c r="K9" s="106"/>
      <c r="L9" s="106"/>
    </row>
    <row r="10" spans="1:12" x14ac:dyDescent="0.25">
      <c r="A10" s="97" t="s">
        <v>63</v>
      </c>
      <c r="B10" s="98" t="s">
        <v>64</v>
      </c>
      <c r="C10" s="98" t="s">
        <v>65</v>
      </c>
      <c r="D10" s="98" t="s">
        <v>66</v>
      </c>
      <c r="E10" s="98" t="s">
        <v>67</v>
      </c>
      <c r="F10" s="98" t="s">
        <v>68</v>
      </c>
      <c r="G10" s="99" t="s">
        <v>69</v>
      </c>
      <c r="H10" s="99" t="s">
        <v>79</v>
      </c>
      <c r="I10" s="98" t="s">
        <v>71</v>
      </c>
      <c r="J10" s="98" t="s">
        <v>80</v>
      </c>
      <c r="K10" s="98" t="s">
        <v>70</v>
      </c>
      <c r="L10" s="100" t="s">
        <v>85</v>
      </c>
    </row>
    <row r="11" spans="1:12" x14ac:dyDescent="0.25">
      <c r="A11" s="93"/>
      <c r="B11" s="91"/>
      <c r="C11" s="91"/>
      <c r="D11" s="91"/>
      <c r="E11" s="91"/>
      <c r="F11" s="91"/>
      <c r="G11" s="92"/>
      <c r="H11" s="101">
        <f t="shared" ref="H11:H22" si="0">F11*G11</f>
        <v>0</v>
      </c>
      <c r="I11" s="91"/>
      <c r="J11" s="91"/>
      <c r="K11" s="102">
        <f t="shared" ref="K11:K22" si="1">I11+J11</f>
        <v>0</v>
      </c>
      <c r="L11" s="103">
        <f t="shared" ref="L11:L22" si="2">H11*K11*52/1000</f>
        <v>0</v>
      </c>
    </row>
    <row r="12" spans="1:12" x14ac:dyDescent="0.25">
      <c r="A12" s="93"/>
      <c r="B12" s="91"/>
      <c r="C12" s="91"/>
      <c r="D12" s="91"/>
      <c r="E12" s="91"/>
      <c r="F12" s="91"/>
      <c r="G12" s="92"/>
      <c r="H12" s="101">
        <f t="shared" si="0"/>
        <v>0</v>
      </c>
      <c r="I12" s="91"/>
      <c r="J12" s="91"/>
      <c r="K12" s="102">
        <f t="shared" si="1"/>
        <v>0</v>
      </c>
      <c r="L12" s="103">
        <f t="shared" si="2"/>
        <v>0</v>
      </c>
    </row>
    <row r="13" spans="1:12" x14ac:dyDescent="0.25">
      <c r="A13" s="93"/>
      <c r="B13" s="91"/>
      <c r="C13" s="91"/>
      <c r="D13" s="91"/>
      <c r="E13" s="91"/>
      <c r="F13" s="91"/>
      <c r="G13" s="92"/>
      <c r="H13" s="101">
        <f t="shared" si="0"/>
        <v>0</v>
      </c>
      <c r="I13" s="91"/>
      <c r="J13" s="91"/>
      <c r="K13" s="102">
        <f t="shared" si="1"/>
        <v>0</v>
      </c>
      <c r="L13" s="103">
        <f t="shared" si="2"/>
        <v>0</v>
      </c>
    </row>
    <row r="14" spans="1:12" x14ac:dyDescent="0.25">
      <c r="A14" s="93"/>
      <c r="B14" s="91"/>
      <c r="C14" s="91"/>
      <c r="D14" s="91"/>
      <c r="E14" s="91"/>
      <c r="F14" s="91"/>
      <c r="G14" s="92"/>
      <c r="H14" s="101">
        <f t="shared" si="0"/>
        <v>0</v>
      </c>
      <c r="I14" s="91"/>
      <c r="J14" s="91"/>
      <c r="K14" s="102">
        <f t="shared" si="1"/>
        <v>0</v>
      </c>
      <c r="L14" s="103">
        <f t="shared" si="2"/>
        <v>0</v>
      </c>
    </row>
    <row r="15" spans="1:12" x14ac:dyDescent="0.25">
      <c r="A15" s="93"/>
      <c r="B15" s="91"/>
      <c r="C15" s="91"/>
      <c r="D15" s="91"/>
      <c r="E15" s="91"/>
      <c r="F15" s="91"/>
      <c r="G15" s="92"/>
      <c r="H15" s="101">
        <f t="shared" si="0"/>
        <v>0</v>
      </c>
      <c r="I15" s="91"/>
      <c r="J15" s="91"/>
      <c r="K15" s="102">
        <f t="shared" si="1"/>
        <v>0</v>
      </c>
      <c r="L15" s="103">
        <f t="shared" si="2"/>
        <v>0</v>
      </c>
    </row>
    <row r="16" spans="1:12" x14ac:dyDescent="0.25">
      <c r="A16" s="93"/>
      <c r="B16" s="91"/>
      <c r="C16" s="91"/>
      <c r="D16" s="91"/>
      <c r="E16" s="91"/>
      <c r="F16" s="91"/>
      <c r="G16" s="92"/>
      <c r="H16" s="101">
        <f t="shared" si="0"/>
        <v>0</v>
      </c>
      <c r="I16" s="91"/>
      <c r="J16" s="91"/>
      <c r="K16" s="102">
        <f t="shared" si="1"/>
        <v>0</v>
      </c>
      <c r="L16" s="103">
        <f t="shared" si="2"/>
        <v>0</v>
      </c>
    </row>
    <row r="17" spans="1:15" x14ac:dyDescent="0.25">
      <c r="A17" s="93"/>
      <c r="B17" s="91"/>
      <c r="C17" s="91"/>
      <c r="D17" s="91"/>
      <c r="E17" s="91"/>
      <c r="F17" s="91"/>
      <c r="G17" s="92"/>
      <c r="H17" s="101">
        <f t="shared" si="0"/>
        <v>0</v>
      </c>
      <c r="I17" s="91"/>
      <c r="J17" s="91"/>
      <c r="K17" s="102">
        <f t="shared" si="1"/>
        <v>0</v>
      </c>
      <c r="L17" s="103">
        <f t="shared" si="2"/>
        <v>0</v>
      </c>
    </row>
    <row r="18" spans="1:15" x14ac:dyDescent="0.25">
      <c r="A18" s="93"/>
      <c r="B18" s="91"/>
      <c r="C18" s="91"/>
      <c r="D18" s="91"/>
      <c r="E18" s="91"/>
      <c r="F18" s="91"/>
      <c r="G18" s="92"/>
      <c r="H18" s="101">
        <f t="shared" si="0"/>
        <v>0</v>
      </c>
      <c r="I18" s="91"/>
      <c r="J18" s="91"/>
      <c r="K18" s="102">
        <f t="shared" si="1"/>
        <v>0</v>
      </c>
      <c r="L18" s="103">
        <f t="shared" si="2"/>
        <v>0</v>
      </c>
    </row>
    <row r="19" spans="1:15" x14ac:dyDescent="0.25">
      <c r="A19" s="93"/>
      <c r="B19" s="91"/>
      <c r="C19" s="91"/>
      <c r="D19" s="91"/>
      <c r="E19" s="91"/>
      <c r="F19" s="91"/>
      <c r="G19" s="92"/>
      <c r="H19" s="101">
        <f t="shared" si="0"/>
        <v>0</v>
      </c>
      <c r="I19" s="91"/>
      <c r="J19" s="91"/>
      <c r="K19" s="102">
        <f t="shared" si="1"/>
        <v>0</v>
      </c>
      <c r="L19" s="103">
        <f t="shared" si="2"/>
        <v>0</v>
      </c>
    </row>
    <row r="20" spans="1:15" x14ac:dyDescent="0.25">
      <c r="A20" s="93"/>
      <c r="B20" s="91"/>
      <c r="C20" s="91"/>
      <c r="D20" s="91"/>
      <c r="E20" s="91"/>
      <c r="F20" s="91"/>
      <c r="G20" s="92"/>
      <c r="H20" s="101">
        <f t="shared" si="0"/>
        <v>0</v>
      </c>
      <c r="I20" s="91"/>
      <c r="J20" s="91"/>
      <c r="K20" s="102">
        <f t="shared" si="1"/>
        <v>0</v>
      </c>
      <c r="L20" s="103">
        <f t="shared" si="2"/>
        <v>0</v>
      </c>
    </row>
    <row r="21" spans="1:15" x14ac:dyDescent="0.25">
      <c r="A21" s="93"/>
      <c r="B21" s="91"/>
      <c r="C21" s="91"/>
      <c r="D21" s="91"/>
      <c r="E21" s="91"/>
      <c r="F21" s="91"/>
      <c r="G21" s="92"/>
      <c r="H21" s="101">
        <f t="shared" si="0"/>
        <v>0</v>
      </c>
      <c r="I21" s="91"/>
      <c r="J21" s="91"/>
      <c r="K21" s="102">
        <f t="shared" si="1"/>
        <v>0</v>
      </c>
      <c r="L21" s="103">
        <f t="shared" si="2"/>
        <v>0</v>
      </c>
    </row>
    <row r="22" spans="1:15" x14ac:dyDescent="0.25">
      <c r="A22" s="94"/>
      <c r="B22" s="95"/>
      <c r="C22" s="95"/>
      <c r="D22" s="95"/>
      <c r="E22" s="95"/>
      <c r="F22" s="95"/>
      <c r="G22" s="96"/>
      <c r="H22" s="101">
        <f t="shared" si="0"/>
        <v>0</v>
      </c>
      <c r="I22" s="95"/>
      <c r="J22" s="95"/>
      <c r="K22" s="102">
        <f t="shared" si="1"/>
        <v>0</v>
      </c>
      <c r="L22" s="103">
        <f t="shared" si="2"/>
        <v>0</v>
      </c>
    </row>
    <row r="23" spans="1:15" x14ac:dyDescent="0.25">
      <c r="C23" s="15"/>
      <c r="D23" s="15"/>
    </row>
    <row r="24" spans="1:15" ht="15.75" customHeight="1" x14ac:dyDescent="0.25">
      <c r="A24" s="110" t="s">
        <v>34</v>
      </c>
      <c r="B24" s="110"/>
      <c r="C24" s="110"/>
      <c r="D24" s="110"/>
      <c r="E24" s="110"/>
      <c r="F24" s="110"/>
      <c r="G24" s="110"/>
      <c r="H24" s="110"/>
      <c r="I24" s="110"/>
      <c r="J24" s="110"/>
      <c r="K24" s="110"/>
      <c r="L24" s="110"/>
      <c r="M24" s="110"/>
      <c r="N24" s="110"/>
      <c r="O24" s="110"/>
    </row>
    <row r="25" spans="1:15" x14ac:dyDescent="0.25">
      <c r="A25" s="110"/>
      <c r="B25" s="110"/>
      <c r="C25" s="110"/>
      <c r="D25" s="110"/>
      <c r="E25" s="110"/>
      <c r="F25" s="110"/>
      <c r="G25" s="110"/>
      <c r="H25" s="110"/>
      <c r="I25" s="110"/>
      <c r="J25" s="110"/>
      <c r="K25" s="110"/>
      <c r="L25" s="110"/>
      <c r="M25" s="110"/>
      <c r="N25" s="110"/>
      <c r="O25" s="110"/>
    </row>
    <row r="26" spans="1:15" x14ac:dyDescent="0.25">
      <c r="A26" s="110"/>
      <c r="B26" s="110"/>
      <c r="C26" s="110"/>
      <c r="D26" s="110"/>
      <c r="E26" s="110"/>
      <c r="F26" s="110"/>
      <c r="G26" s="110"/>
      <c r="H26" s="110"/>
      <c r="I26" s="110"/>
      <c r="J26" s="110"/>
      <c r="K26" s="110"/>
      <c r="L26" s="110"/>
      <c r="M26" s="110"/>
      <c r="N26" s="110"/>
      <c r="O26" s="110"/>
    </row>
    <row r="27" spans="1:15" ht="5.25" customHeight="1" x14ac:dyDescent="0.25">
      <c r="A27" s="110"/>
      <c r="B27" s="110"/>
      <c r="C27" s="110"/>
      <c r="D27" s="110"/>
      <c r="E27" s="110"/>
      <c r="F27" s="110"/>
      <c r="G27" s="110"/>
      <c r="H27" s="110"/>
      <c r="I27" s="110"/>
      <c r="J27" s="110"/>
      <c r="K27" s="110"/>
      <c r="L27" s="110"/>
      <c r="M27" s="110"/>
      <c r="N27" s="110"/>
      <c r="O27" s="110"/>
    </row>
    <row r="28" spans="1:15" x14ac:dyDescent="0.25">
      <c r="B28" s="20"/>
      <c r="C28" s="20"/>
      <c r="D28" s="20"/>
      <c r="E28" s="20"/>
      <c r="F28" s="20"/>
      <c r="G28" s="20"/>
      <c r="H28" s="20"/>
      <c r="I28" s="20"/>
      <c r="J28" s="20"/>
      <c r="K28" s="20"/>
      <c r="L28" s="20"/>
      <c r="M28" s="20"/>
      <c r="N28" s="20"/>
      <c r="O28" s="20"/>
    </row>
    <row r="29" spans="1:15" x14ac:dyDescent="0.25">
      <c r="C29" s="109" t="s">
        <v>35</v>
      </c>
      <c r="D29" s="109"/>
      <c r="E29" s="109"/>
      <c r="F29" s="109"/>
      <c r="G29" s="109"/>
      <c r="H29" s="109"/>
      <c r="I29" s="109"/>
      <c r="J29" s="109"/>
      <c r="K29" s="109"/>
      <c r="L29" s="109"/>
    </row>
    <row r="30" spans="1:15" x14ac:dyDescent="0.25">
      <c r="D30" s="15"/>
      <c r="E30" s="15"/>
    </row>
    <row r="31" spans="1:15" x14ac:dyDescent="0.25">
      <c r="C31" s="15"/>
      <c r="D31" s="15"/>
    </row>
    <row r="32" spans="1:15" x14ac:dyDescent="0.25">
      <c r="C32" s="15"/>
      <c r="D32" s="15"/>
    </row>
  </sheetData>
  <sheetProtection sheet="1" objects="1" scenarios="1" insertRows="0"/>
  <mergeCells count="16">
    <mergeCell ref="C29:L29"/>
    <mergeCell ref="J8:J9"/>
    <mergeCell ref="K8:K9"/>
    <mergeCell ref="L8:L9"/>
    <mergeCell ref="A24:O27"/>
    <mergeCell ref="A1:L5"/>
    <mergeCell ref="A6:L7"/>
    <mergeCell ref="A8:A9"/>
    <mergeCell ref="B8:B9"/>
    <mergeCell ref="C8:C9"/>
    <mergeCell ref="D8:D9"/>
    <mergeCell ref="E8:E9"/>
    <mergeCell ref="F8:F9"/>
    <mergeCell ref="G8:G9"/>
    <mergeCell ref="I8:I9"/>
    <mergeCell ref="H8:H9"/>
  </mergeCell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33C0A-BC8D-4804-9D76-796A56A90257}">
  <dimension ref="A1:L31"/>
  <sheetViews>
    <sheetView tabSelected="1" zoomScale="70" zoomScaleNormal="70" workbookViewId="0">
      <selection activeCell="C28" sqref="C28:L29"/>
    </sheetView>
  </sheetViews>
  <sheetFormatPr baseColWidth="10" defaultRowHeight="15.75" x14ac:dyDescent="0.25"/>
  <cols>
    <col min="1" max="4" width="11" style="7"/>
    <col min="5" max="5" width="13.125" style="7" customWidth="1"/>
    <col min="6" max="9" width="11" style="7"/>
    <col min="10" max="10" width="12.375" style="7" customWidth="1"/>
    <col min="11" max="11" width="14.5" style="7" customWidth="1"/>
    <col min="12" max="16384" width="11" style="7"/>
  </cols>
  <sheetData>
    <row r="1" spans="1:12" x14ac:dyDescent="0.25">
      <c r="A1" s="105"/>
      <c r="B1" s="105"/>
      <c r="C1" s="105"/>
      <c r="D1" s="105"/>
      <c r="E1" s="105"/>
      <c r="F1" s="105"/>
      <c r="G1" s="105"/>
      <c r="H1" s="105"/>
      <c r="I1" s="105"/>
      <c r="J1" s="105"/>
      <c r="K1" s="105"/>
      <c r="L1" s="105"/>
    </row>
    <row r="2" spans="1:12" x14ac:dyDescent="0.25">
      <c r="A2" s="105"/>
      <c r="B2" s="105"/>
      <c r="C2" s="105"/>
      <c r="D2" s="105"/>
      <c r="E2" s="105"/>
      <c r="F2" s="105"/>
      <c r="G2" s="105"/>
      <c r="H2" s="105"/>
      <c r="I2" s="105"/>
      <c r="J2" s="105"/>
      <c r="K2" s="105"/>
      <c r="L2" s="105"/>
    </row>
    <row r="3" spans="1:12" x14ac:dyDescent="0.25">
      <c r="A3" s="105"/>
      <c r="B3" s="105"/>
      <c r="C3" s="105"/>
      <c r="D3" s="105"/>
      <c r="E3" s="105"/>
      <c r="F3" s="105"/>
      <c r="G3" s="105"/>
      <c r="H3" s="105"/>
      <c r="I3" s="105"/>
      <c r="J3" s="105"/>
      <c r="K3" s="105"/>
      <c r="L3" s="105"/>
    </row>
    <row r="4" spans="1:12" x14ac:dyDescent="0.25">
      <c r="A4" s="105"/>
      <c r="B4" s="105"/>
      <c r="C4" s="105"/>
      <c r="D4" s="105"/>
      <c r="E4" s="105"/>
      <c r="F4" s="105"/>
      <c r="G4" s="105"/>
      <c r="H4" s="105"/>
      <c r="I4" s="105"/>
      <c r="J4" s="105"/>
      <c r="K4" s="105"/>
      <c r="L4" s="105"/>
    </row>
    <row r="5" spans="1:12" x14ac:dyDescent="0.25">
      <c r="A5" s="105"/>
      <c r="B5" s="105"/>
      <c r="C5" s="105"/>
      <c r="D5" s="105"/>
      <c r="E5" s="105"/>
      <c r="F5" s="105"/>
      <c r="G5" s="105"/>
      <c r="H5" s="105"/>
      <c r="I5" s="105"/>
      <c r="J5" s="105"/>
      <c r="K5" s="105"/>
      <c r="L5" s="105"/>
    </row>
    <row r="6" spans="1:12" x14ac:dyDescent="0.25">
      <c r="A6" s="106" t="s">
        <v>36</v>
      </c>
      <c r="B6" s="106"/>
      <c r="C6" s="106"/>
      <c r="D6" s="106"/>
      <c r="E6" s="106"/>
      <c r="F6" s="106"/>
      <c r="G6" s="106"/>
      <c r="H6" s="106"/>
      <c r="I6" s="106"/>
      <c r="J6" s="106"/>
      <c r="K6" s="106"/>
      <c r="L6" s="106"/>
    </row>
    <row r="7" spans="1:12" x14ac:dyDescent="0.25">
      <c r="A7" s="106"/>
      <c r="B7" s="106"/>
      <c r="C7" s="106"/>
      <c r="D7" s="106"/>
      <c r="E7" s="106"/>
      <c r="F7" s="106"/>
      <c r="G7" s="106"/>
      <c r="H7" s="106"/>
      <c r="I7" s="106"/>
      <c r="J7" s="106"/>
      <c r="K7" s="106"/>
      <c r="L7" s="106"/>
    </row>
    <row r="8" spans="1:12" x14ac:dyDescent="0.25">
      <c r="A8" s="106" t="s">
        <v>0</v>
      </c>
      <c r="B8" s="106" t="s">
        <v>1</v>
      </c>
      <c r="C8" s="106" t="s">
        <v>11</v>
      </c>
      <c r="D8" s="106" t="s">
        <v>12</v>
      </c>
      <c r="E8" s="106" t="s">
        <v>23</v>
      </c>
      <c r="F8" s="106" t="s">
        <v>62</v>
      </c>
      <c r="G8" s="106" t="s">
        <v>14</v>
      </c>
      <c r="H8" s="107" t="s">
        <v>61</v>
      </c>
      <c r="I8" s="106" t="s">
        <v>3</v>
      </c>
      <c r="J8" s="106" t="s">
        <v>4</v>
      </c>
      <c r="K8" s="106" t="s">
        <v>5</v>
      </c>
      <c r="L8" s="106" t="s">
        <v>6</v>
      </c>
    </row>
    <row r="9" spans="1:12" ht="27" customHeight="1" x14ac:dyDescent="0.25">
      <c r="A9" s="106"/>
      <c r="B9" s="106"/>
      <c r="C9" s="106"/>
      <c r="D9" s="106"/>
      <c r="E9" s="106"/>
      <c r="F9" s="106"/>
      <c r="G9" s="106"/>
      <c r="H9" s="108"/>
      <c r="I9" s="106"/>
      <c r="J9" s="106"/>
      <c r="K9" s="106"/>
      <c r="L9" s="106"/>
    </row>
    <row r="10" spans="1:12" x14ac:dyDescent="0.25">
      <c r="A10" s="97" t="s">
        <v>63</v>
      </c>
      <c r="B10" s="98" t="s">
        <v>64</v>
      </c>
      <c r="C10" s="98" t="s">
        <v>65</v>
      </c>
      <c r="D10" s="98" t="s">
        <v>66</v>
      </c>
      <c r="E10" s="98" t="s">
        <v>67</v>
      </c>
      <c r="F10" s="98" t="s">
        <v>68</v>
      </c>
      <c r="G10" s="99" t="s">
        <v>69</v>
      </c>
      <c r="H10" s="99" t="s">
        <v>79</v>
      </c>
      <c r="I10" s="98" t="s">
        <v>71</v>
      </c>
      <c r="J10" s="98" t="s">
        <v>80</v>
      </c>
      <c r="K10" s="98" t="s">
        <v>70</v>
      </c>
      <c r="L10" s="100" t="s">
        <v>85</v>
      </c>
    </row>
    <row r="11" spans="1:12" x14ac:dyDescent="0.25">
      <c r="A11" s="93"/>
      <c r="B11" s="91"/>
      <c r="C11" s="91"/>
      <c r="D11" s="91"/>
      <c r="E11" s="91"/>
      <c r="F11" s="91"/>
      <c r="G11" s="92"/>
      <c r="H11" s="101">
        <f t="shared" ref="H11:H22" si="0">F11*G11</f>
        <v>0</v>
      </c>
      <c r="I11" s="91"/>
      <c r="J11" s="91"/>
      <c r="K11" s="102">
        <f t="shared" ref="K11:K22" si="1">I11+J11</f>
        <v>0</v>
      </c>
      <c r="L11" s="103">
        <f t="shared" ref="L11:L22" si="2">H11*K11*52/1000</f>
        <v>0</v>
      </c>
    </row>
    <row r="12" spans="1:12" x14ac:dyDescent="0.25">
      <c r="A12" s="93"/>
      <c r="B12" s="91"/>
      <c r="C12" s="91"/>
      <c r="D12" s="91"/>
      <c r="E12" s="91"/>
      <c r="F12" s="91"/>
      <c r="G12" s="92"/>
      <c r="H12" s="101">
        <f t="shared" si="0"/>
        <v>0</v>
      </c>
      <c r="I12" s="91"/>
      <c r="J12" s="91"/>
      <c r="K12" s="102">
        <f t="shared" si="1"/>
        <v>0</v>
      </c>
      <c r="L12" s="103">
        <f t="shared" si="2"/>
        <v>0</v>
      </c>
    </row>
    <row r="13" spans="1:12" x14ac:dyDescent="0.25">
      <c r="A13" s="93"/>
      <c r="B13" s="91"/>
      <c r="C13" s="91"/>
      <c r="D13" s="91"/>
      <c r="E13" s="91"/>
      <c r="F13" s="91"/>
      <c r="G13" s="92"/>
      <c r="H13" s="101">
        <f t="shared" si="0"/>
        <v>0</v>
      </c>
      <c r="I13" s="91"/>
      <c r="J13" s="91"/>
      <c r="K13" s="102">
        <f t="shared" si="1"/>
        <v>0</v>
      </c>
      <c r="L13" s="103">
        <f t="shared" si="2"/>
        <v>0</v>
      </c>
    </row>
    <row r="14" spans="1:12" x14ac:dyDescent="0.25">
      <c r="A14" s="93"/>
      <c r="B14" s="91"/>
      <c r="C14" s="91"/>
      <c r="D14" s="91"/>
      <c r="E14" s="91"/>
      <c r="F14" s="91"/>
      <c r="G14" s="92"/>
      <c r="H14" s="101">
        <f t="shared" si="0"/>
        <v>0</v>
      </c>
      <c r="I14" s="91"/>
      <c r="J14" s="91"/>
      <c r="K14" s="102">
        <f t="shared" si="1"/>
        <v>0</v>
      </c>
      <c r="L14" s="103">
        <f t="shared" si="2"/>
        <v>0</v>
      </c>
    </row>
    <row r="15" spans="1:12" x14ac:dyDescent="0.25">
      <c r="A15" s="93"/>
      <c r="B15" s="91"/>
      <c r="C15" s="91"/>
      <c r="D15" s="91"/>
      <c r="E15" s="91"/>
      <c r="F15" s="91"/>
      <c r="G15" s="92"/>
      <c r="H15" s="101">
        <f t="shared" si="0"/>
        <v>0</v>
      </c>
      <c r="I15" s="91"/>
      <c r="J15" s="91"/>
      <c r="K15" s="102">
        <f t="shared" si="1"/>
        <v>0</v>
      </c>
      <c r="L15" s="103">
        <f t="shared" si="2"/>
        <v>0</v>
      </c>
    </row>
    <row r="16" spans="1:12" x14ac:dyDescent="0.25">
      <c r="A16" s="93"/>
      <c r="B16" s="91"/>
      <c r="C16" s="91"/>
      <c r="D16" s="91"/>
      <c r="E16" s="91"/>
      <c r="F16" s="91"/>
      <c r="G16" s="92"/>
      <c r="H16" s="101">
        <f t="shared" si="0"/>
        <v>0</v>
      </c>
      <c r="I16" s="91"/>
      <c r="J16" s="91"/>
      <c r="K16" s="102">
        <f t="shared" si="1"/>
        <v>0</v>
      </c>
      <c r="L16" s="103">
        <f t="shared" si="2"/>
        <v>0</v>
      </c>
    </row>
    <row r="17" spans="1:12" x14ac:dyDescent="0.25">
      <c r="A17" s="93"/>
      <c r="B17" s="91"/>
      <c r="C17" s="91"/>
      <c r="D17" s="91"/>
      <c r="E17" s="91"/>
      <c r="F17" s="91"/>
      <c r="G17" s="92"/>
      <c r="H17" s="101">
        <f t="shared" si="0"/>
        <v>0</v>
      </c>
      <c r="I17" s="91"/>
      <c r="J17" s="91"/>
      <c r="K17" s="102">
        <f t="shared" si="1"/>
        <v>0</v>
      </c>
      <c r="L17" s="103">
        <f t="shared" si="2"/>
        <v>0</v>
      </c>
    </row>
    <row r="18" spans="1:12" x14ac:dyDescent="0.25">
      <c r="A18" s="93"/>
      <c r="B18" s="91"/>
      <c r="C18" s="91"/>
      <c r="D18" s="91"/>
      <c r="E18" s="91"/>
      <c r="F18" s="91"/>
      <c r="G18" s="92"/>
      <c r="H18" s="101">
        <f t="shared" si="0"/>
        <v>0</v>
      </c>
      <c r="I18" s="91"/>
      <c r="J18" s="91"/>
      <c r="K18" s="102">
        <f t="shared" si="1"/>
        <v>0</v>
      </c>
      <c r="L18" s="103">
        <f t="shared" si="2"/>
        <v>0</v>
      </c>
    </row>
    <row r="19" spans="1:12" x14ac:dyDescent="0.25">
      <c r="A19" s="93"/>
      <c r="B19" s="91"/>
      <c r="C19" s="91"/>
      <c r="D19" s="91"/>
      <c r="E19" s="91"/>
      <c r="F19" s="91"/>
      <c r="G19" s="92"/>
      <c r="H19" s="101">
        <f t="shared" si="0"/>
        <v>0</v>
      </c>
      <c r="I19" s="91"/>
      <c r="J19" s="91"/>
      <c r="K19" s="102">
        <f t="shared" si="1"/>
        <v>0</v>
      </c>
      <c r="L19" s="103">
        <f t="shared" si="2"/>
        <v>0</v>
      </c>
    </row>
    <row r="20" spans="1:12" x14ac:dyDescent="0.25">
      <c r="A20" s="93"/>
      <c r="B20" s="91"/>
      <c r="C20" s="91"/>
      <c r="D20" s="91"/>
      <c r="E20" s="91"/>
      <c r="F20" s="91"/>
      <c r="G20" s="92"/>
      <c r="H20" s="101">
        <f t="shared" si="0"/>
        <v>0</v>
      </c>
      <c r="I20" s="91"/>
      <c r="J20" s="91"/>
      <c r="K20" s="102">
        <f t="shared" si="1"/>
        <v>0</v>
      </c>
      <c r="L20" s="103">
        <f t="shared" si="2"/>
        <v>0</v>
      </c>
    </row>
    <row r="21" spans="1:12" x14ac:dyDescent="0.25">
      <c r="A21" s="93"/>
      <c r="B21" s="91"/>
      <c r="C21" s="91"/>
      <c r="D21" s="91"/>
      <c r="E21" s="91"/>
      <c r="F21" s="91"/>
      <c r="G21" s="92"/>
      <c r="H21" s="101">
        <f t="shared" si="0"/>
        <v>0</v>
      </c>
      <c r="I21" s="91"/>
      <c r="J21" s="91"/>
      <c r="K21" s="102">
        <f t="shared" si="1"/>
        <v>0</v>
      </c>
      <c r="L21" s="103">
        <f t="shared" si="2"/>
        <v>0</v>
      </c>
    </row>
    <row r="22" spans="1:12" x14ac:dyDescent="0.25">
      <c r="A22" s="94"/>
      <c r="B22" s="95"/>
      <c r="C22" s="95"/>
      <c r="D22" s="95"/>
      <c r="E22" s="95"/>
      <c r="F22" s="95"/>
      <c r="G22" s="96"/>
      <c r="H22" s="101">
        <f t="shared" si="0"/>
        <v>0</v>
      </c>
      <c r="I22" s="95"/>
      <c r="J22" s="95"/>
      <c r="K22" s="102">
        <f t="shared" si="1"/>
        <v>0</v>
      </c>
      <c r="L22" s="103">
        <f t="shared" si="2"/>
        <v>0</v>
      </c>
    </row>
    <row r="23" spans="1:12" x14ac:dyDescent="0.25">
      <c r="C23" s="15"/>
      <c r="D23" s="15"/>
    </row>
    <row r="24" spans="1:12" ht="15.75" customHeight="1" x14ac:dyDescent="0.25">
      <c r="A24" s="110" t="s">
        <v>59</v>
      </c>
      <c r="B24" s="110"/>
      <c r="C24" s="110"/>
      <c r="D24" s="110"/>
      <c r="E24" s="110"/>
      <c r="F24" s="110"/>
      <c r="G24" s="110"/>
      <c r="H24" s="110"/>
      <c r="I24" s="110"/>
      <c r="J24" s="110"/>
      <c r="K24" s="110"/>
      <c r="L24" s="110"/>
    </row>
    <row r="25" spans="1:12" x14ac:dyDescent="0.25">
      <c r="A25" s="110"/>
      <c r="B25" s="110"/>
      <c r="C25" s="110"/>
      <c r="D25" s="110"/>
      <c r="E25" s="110"/>
      <c r="F25" s="110"/>
      <c r="G25" s="110"/>
      <c r="H25" s="110"/>
      <c r="I25" s="110"/>
      <c r="J25" s="110"/>
      <c r="K25" s="110"/>
      <c r="L25" s="110"/>
    </row>
    <row r="26" spans="1:12" ht="3" customHeight="1" x14ac:dyDescent="0.25">
      <c r="A26" s="110"/>
      <c r="B26" s="110"/>
      <c r="C26" s="110"/>
      <c r="D26" s="110"/>
      <c r="E26" s="110"/>
      <c r="F26" s="110"/>
      <c r="G26" s="110"/>
      <c r="H26" s="110"/>
      <c r="I26" s="110"/>
      <c r="J26" s="110"/>
      <c r="K26" s="110"/>
      <c r="L26" s="110"/>
    </row>
    <row r="28" spans="1:12" x14ac:dyDescent="0.25">
      <c r="C28" s="109" t="s">
        <v>37</v>
      </c>
      <c r="D28" s="109"/>
      <c r="E28" s="109"/>
      <c r="F28" s="109"/>
      <c r="G28" s="109"/>
      <c r="H28" s="109"/>
      <c r="I28" s="109"/>
      <c r="J28" s="109"/>
      <c r="K28" s="109"/>
      <c r="L28" s="109"/>
    </row>
    <row r="29" spans="1:12" x14ac:dyDescent="0.25">
      <c r="C29" s="109"/>
      <c r="D29" s="109"/>
      <c r="E29" s="109"/>
      <c r="F29" s="109"/>
      <c r="G29" s="109"/>
      <c r="H29" s="109"/>
      <c r="I29" s="109"/>
      <c r="J29" s="109"/>
      <c r="K29" s="109"/>
      <c r="L29" s="109"/>
    </row>
    <row r="30" spans="1:12" x14ac:dyDescent="0.25">
      <c r="C30" s="15"/>
      <c r="D30" s="15"/>
    </row>
    <row r="31" spans="1:12" x14ac:dyDescent="0.25">
      <c r="C31" s="15"/>
      <c r="D31" s="15"/>
    </row>
  </sheetData>
  <sheetProtection sheet="1" objects="1" scenarios="1" insertRows="0" selectLockedCells="1"/>
  <mergeCells count="16">
    <mergeCell ref="C28:L29"/>
    <mergeCell ref="J8:J9"/>
    <mergeCell ref="K8:K9"/>
    <mergeCell ref="L8:L9"/>
    <mergeCell ref="A24:L26"/>
    <mergeCell ref="A1:L5"/>
    <mergeCell ref="A6:L7"/>
    <mergeCell ref="A8:A9"/>
    <mergeCell ref="B8:B9"/>
    <mergeCell ref="C8:C9"/>
    <mergeCell ref="D8:D9"/>
    <mergeCell ref="E8:E9"/>
    <mergeCell ref="F8:F9"/>
    <mergeCell ref="G8:G9"/>
    <mergeCell ref="I8:I9"/>
    <mergeCell ref="H8:H9"/>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10</vt:i4>
      </vt:variant>
    </vt:vector>
  </HeadingPairs>
  <TitlesOfParts>
    <vt:vector size="18" baseType="lpstr">
      <vt:lpstr>ILUMINACIÓN</vt:lpstr>
      <vt:lpstr>CÓMPUTO</vt:lpstr>
      <vt:lpstr>FUERZA</vt:lpstr>
      <vt:lpstr>AIRE AC.</vt:lpstr>
      <vt:lpstr>ELECTRODOMESTICOS</vt:lpstr>
      <vt:lpstr>VOZ-DATOS Y VIDEOVIGILANCIA</vt:lpstr>
      <vt:lpstr>EQUIPOS PERSONALES</vt:lpstr>
      <vt:lpstr>OTROS</vt:lpstr>
      <vt:lpstr>'AIRE AC.'!Área_de_impresión</vt:lpstr>
      <vt:lpstr>CÓMPUTO!Área_de_impresión</vt:lpstr>
      <vt:lpstr>ELECTRODOMESTICOS!Área_de_impresión</vt:lpstr>
      <vt:lpstr>FUERZA!Área_de_impresión</vt:lpstr>
      <vt:lpstr>ILUMINACIÓN!Área_de_impresión</vt:lpstr>
      <vt:lpstr>'VOZ-DATOS Y VIDEOVIGILANCIA'!Área_de_impresión</vt:lpstr>
      <vt:lpstr>CÓMPUTO!Títulos_a_imprimir</vt:lpstr>
      <vt:lpstr>ELECTRODOMESTICOS!Títulos_a_imprimir</vt:lpstr>
      <vt:lpstr>ILUMINACIÓN!Títulos_a_imprimir</vt:lpstr>
      <vt:lpstr>'VOZ-DATOS Y VIDEOVIGILANCIA'!Títulos_a_imprimir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de Microsoft Office</dc:creator>
  <cp:lastModifiedBy>Sandra Lopez</cp:lastModifiedBy>
  <cp:lastPrinted>2025-07-30T16:02:25Z</cp:lastPrinted>
  <dcterms:created xsi:type="dcterms:W3CDTF">2023-10-27T15:57:45Z</dcterms:created>
  <dcterms:modified xsi:type="dcterms:W3CDTF">2026-05-20T15:44:34Z</dcterms:modified>
</cp:coreProperties>
</file>