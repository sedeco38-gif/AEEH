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LUMINACIÓN" state="visible" r:id="rId4"/>
    <sheet sheetId="2" name="CÓMPUTO" state="visible" r:id="rId5"/>
    <sheet sheetId="3" name="FUERZA" state="visible" r:id="rId6"/>
    <sheet sheetId="4" name="AIRE AC." state="visible" r:id="rId7"/>
    <sheet sheetId="5" name="ELECTRODOMESTICOS" state="visible" r:id="rId8"/>
    <sheet sheetId="6" name="VOZ-DATOS Y VIDEOVIGILANCIA" state="visible" r:id="rId9"/>
    <sheet sheetId="7" name="EQUIPOS PERSONALES" state="visible" r:id="rId10"/>
    <sheet sheetId="8" name="OTROS" state="visible" r:id="rId11"/>
  </sheets>
  <calcPr calcId="171027"/>
</workbook>
</file>

<file path=xl/sharedStrings.xml><?xml version="1.0" encoding="utf-8"?>
<sst xmlns="http://schemas.openxmlformats.org/spreadsheetml/2006/main" count="151" uniqueCount="56">
  <si>
    <t>Edificio</t>
  </si>
  <si>
    <t>Nivel</t>
  </si>
  <si>
    <t>Secretaría/Dependencia</t>
  </si>
  <si>
    <t>Área Específica</t>
  </si>
  <si>
    <t>Descripción de la luminaria</t>
  </si>
  <si>
    <t>Cantidad de Luminarios</t>
  </si>
  <si>
    <t>Lámpara por Luminario</t>
  </si>
  <si>
    <t>Total de lámparas</t>
  </si>
  <si>
    <t>Potencia (W) por lámpara</t>
  </si>
  <si>
    <t>Total de consumo (W)</t>
  </si>
  <si>
    <t>Horas de operación (Lun-Vie)</t>
  </si>
  <si>
    <t>Horas de Operación (Sáb-Dom)</t>
  </si>
  <si>
    <t>Horas de operación Totales a la Semana</t>
  </si>
  <si>
    <t>Área en m2 del espacio</t>
  </si>
  <si>
    <t>Consumo (KWh/año)</t>
  </si>
  <si>
    <t>Observaciones</t>
  </si>
  <si>
    <t>Edificio A</t>
  </si>
  <si>
    <t>Nivel 1</t>
  </si>
  <si>
    <t>Dirección Administrativa</t>
  </si>
  <si>
    <t>Pasillo central</t>
  </si>
  <si>
    <t>Foco LED tipo panel</t>
  </si>
  <si>
    <t>Prueba controlada</t>
  </si>
  <si>
    <t>Área especÍfica</t>
  </si>
  <si>
    <t>Descripción del equipo</t>
  </si>
  <si>
    <t>Cantidad</t>
  </si>
  <si>
    <t>Consumo en espera</t>
  </si>
  <si>
    <t>Potencia (W)</t>
  </si>
  <si>
    <t>Consumo en KWh/año</t>
  </si>
  <si>
    <t>Área de cómputo</t>
  </si>
  <si>
    <t>PC de trabajo</t>
  </si>
  <si>
    <t>Secretaría/Dependecia</t>
  </si>
  <si>
    <t>Área específica</t>
  </si>
  <si>
    <t>Capacidad [Hp]</t>
  </si>
  <si>
    <t>Volts (V)</t>
  </si>
  <si>
    <t>Año en que se instalo</t>
  </si>
  <si>
    <t>Planta baja</t>
  </si>
  <si>
    <t>Bomba de agua</t>
  </si>
  <si>
    <t>Descripción del equipo de ventilación</t>
  </si>
  <si>
    <t>BTU/HR</t>
  </si>
  <si>
    <t>Volts</t>
  </si>
  <si>
    <t>Amperes</t>
  </si>
  <si>
    <t>Consumo total kWh/año</t>
  </si>
  <si>
    <t>Oficina</t>
  </si>
  <si>
    <t>Aire acondicionado split</t>
  </si>
  <si>
    <t>Nivel 2</t>
  </si>
  <si>
    <t>Cocina</t>
  </si>
  <si>
    <t>Refrigerador</t>
  </si>
  <si>
    <t>Descripción del equipo electrico</t>
  </si>
  <si>
    <t>Sala de servidores</t>
  </si>
  <si>
    <t>Switch de red</t>
  </si>
  <si>
    <t>Descripción del equipo eléctrico</t>
  </si>
  <si>
    <t>Sala de trabajo</t>
  </si>
  <si>
    <t>Laptop</t>
  </si>
  <si>
    <t>Area Especifica</t>
  </si>
  <si>
    <t>Área general</t>
  </si>
  <si>
    <t>Equipo auxiliar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</si>
</sst>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ILUMINACI_N" displayName="ILUMINACI_N" ref="A8:P9" totalsRowShown="1" headerRowCount="1">
  <autoFilter ref="A8:P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Edificio" totalsRowLabel="Total"/>
    <tableColumn id="2" name="Nivel" totalsRowFunction="none"/>
    <tableColumn id="3" name="Secretaría/Dependencia" totalsRowFunction="none"/>
    <tableColumn id="4" name="Área Específica" totalsRowFunction="none"/>
    <tableColumn id="5" name="Descripción de la luminaria" totalsRowFunction="none"/>
    <tableColumn id="6" name="Cantidad de Luminarios" totalsRowFunction="none"/>
    <tableColumn id="7" name="Lámpara por Luminario" totalsRowFunction="none"/>
    <tableColumn id="8" name="Total de lámparas" totalsRowFunction="none"/>
    <tableColumn id="9" name="Potencia (W) por lámpara" totalsRowFunction="none"/>
    <tableColumn id="10" name="Total de consumo (W)" totalsRowFunction="none"/>
    <tableColumn id="11" name="Horas de operación (Lun-Vie)" totalsRowFunction="none"/>
    <tableColumn id="12" name="Horas de Operación (Sáb-Dom)" totalsRowFunction="none"/>
    <tableColumn id="13" name="Horas de operación Totales a la Semana" totalsRowFunction="none"/>
    <tableColumn id="14" name="Área en m2 del espacio" totalsRowFunction="none"/>
    <tableColumn id="15" name="Consumo (KWh/año)" totalsRowFunction="none"/>
    <tableColumn id="16" name="Observaciones" totalsRowFunction="non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C_MPUTO" displayName="C_MPUTO" ref="A7:M8" totalsRowShown="1" headerRowCount="1">
  <autoFilter ref="A7:M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Edificio" totalsRowLabel="Total"/>
    <tableColumn id="2" name="Nivel" totalsRowFunction="none"/>
    <tableColumn id="3" name="Secretaría/Dependencia" totalsRowFunction="none"/>
    <tableColumn id="4" name="Área especÍfica" totalsRowFunction="none"/>
    <tableColumn id="5" name="Descripción del equipo" totalsRowFunction="none"/>
    <tableColumn id="6" name="Cantidad" totalsRowFunction="none"/>
    <tableColumn id="7" name="Consumo en espera" totalsRowFunction="none"/>
    <tableColumn id="8" name="Potencia (W)" totalsRowFunction="none"/>
    <tableColumn id="9" name="Total de consumo (W)" totalsRowFunction="none"/>
    <tableColumn id="10" name="Horas de operación (Lun-Vie)" totalsRowFunction="none"/>
    <tableColumn id="11" name="Horas de Operación (Sáb-Dom)" totalsRowFunction="none"/>
    <tableColumn id="12" name="Horas de operación Totales a la Semana" totalsRowFunction="none"/>
    <tableColumn id="13" name="Consumo en KWh/año" totalsRowFunction="non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FUERZA" displayName="FUERZA" ref="A9:P10" totalsRowShown="1" headerRowCount="1">
  <autoFilter ref="A9:P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Edificio" totalsRowLabel="Total"/>
    <tableColumn id="2" name="Nivel" totalsRowFunction="none"/>
    <tableColumn id="3" name="Secretaría/Dependecia" totalsRowFunction="none"/>
    <tableColumn id="4" name="Área específica" totalsRowFunction="none"/>
    <tableColumn id="5" name="Descripción del equipo" totalsRowFunction="none"/>
    <tableColumn id="6" name="Cantidad" totalsRowFunction="none"/>
    <tableColumn id="7" name="Capacidad [Hp]" totalsRowFunction="none"/>
    <tableColumn id="8" name="Potencia (W)" totalsRowFunction="none"/>
    <tableColumn id="9" name="Total de consumo (W)" totalsRowFunction="none"/>
    <tableColumn id="10" name="Volts (V)" totalsRowFunction="none"/>
    <tableColumn id="11" name="Horas de operación (Lun-Vie)" totalsRowFunction="none"/>
    <tableColumn id="12" name="Horas de Operación (Sáb-Dom)" totalsRowFunction="none"/>
    <tableColumn id="13" name="Horas de operación Totales a la Semana" totalsRowFunction="none"/>
    <tableColumn id="14" name="Consumo en KWh/año" totalsRowFunction="none"/>
    <tableColumn id="15" name="Año en que se instalo" totalsRowFunction="none"/>
    <tableColumn id="16" name="Observaciones" totalsRowFunction="none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AIRE_AC_" displayName="AIRE_AC_" ref="A8:P9" totalsRowShown="1" headerRowCount="1">
  <autoFilter ref="A8:P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Edificio" totalsRowLabel="Total"/>
    <tableColumn id="2" name="Nivel" totalsRowFunction="none"/>
    <tableColumn id="3" name="Secretaría/Dependencia" totalsRowFunction="none"/>
    <tableColumn id="4" name="Área específica" totalsRowFunction="none"/>
    <tableColumn id="5" name="Descripción del equipo de ventilación" totalsRowFunction="none"/>
    <tableColumn id="6" name="Cantidad" totalsRowFunction="none"/>
    <tableColumn id="7" name="BTU/HR" totalsRowFunction="none"/>
    <tableColumn id="8" name="Volts" totalsRowFunction="none"/>
    <tableColumn id="9" name="Amperes" totalsRowFunction="none"/>
    <tableColumn id="10" name="Potencia (W)" totalsRowFunction="none"/>
    <tableColumn id="11" name="Total de consumo (W)" totalsRowFunction="none"/>
    <tableColumn id="12" name="Horas de operación (Lun-Vie)" totalsRowFunction="none"/>
    <tableColumn id="13" name="Horas de Operación (Sáb-Dom)" totalsRowFunction="none"/>
    <tableColumn id="14" name="Horas de operación Totales a la Semana" totalsRowFunction="none"/>
    <tableColumn id="15" name="Año en que se instalo" totalsRowFunction="none"/>
    <tableColumn id="16" name="Consumo total kWh/año" totalsRowFunction="none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ELECTRODOMESTICOS" displayName="ELECTRODOMESTICOS" ref="A8:L9" totalsRowShown="1" headerRowCount="1">
  <autoFilter ref="A8:L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Edificio" totalsRowLabel="Total"/>
    <tableColumn id="2" name="Nivel" totalsRowFunction="none"/>
    <tableColumn id="3" name="Secretaría/Dependencia" totalsRowFunction="none"/>
    <tableColumn id="4" name="Área específica" totalsRowFunction="none"/>
    <tableColumn id="5" name="Descripción del equipo" totalsRowFunction="none"/>
    <tableColumn id="6" name="Cantidad" totalsRowFunction="none"/>
    <tableColumn id="7" name="Potencia (W)" totalsRowFunction="none"/>
    <tableColumn id="8" name="Total de consumo (W)" totalsRowFunction="none"/>
    <tableColumn id="9" name="Horas de operación (Lun-Vie)" totalsRowFunction="none"/>
    <tableColumn id="10" name="Horas de Operación (Sáb-Dom)" totalsRowFunction="none"/>
    <tableColumn id="11" name="Horas de operación Totales a la Semana" totalsRowFunction="none"/>
    <tableColumn id="12" name="Consumo en KWh/año" totalsRowFunction="none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VOZ_DATOS_Y_VIDEOVIGILANCIA" displayName="VOZ_DATOS_Y_VIDEOVIGILANCIA" ref="A8:L9" totalsRowShown="1" headerRowCount="1">
  <autoFilter ref="A8:L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Edificio" totalsRowLabel="Total"/>
    <tableColumn id="2" name="Nivel" totalsRowFunction="none"/>
    <tableColumn id="3" name="Secretaría/Dependencia" totalsRowFunction="none"/>
    <tableColumn id="4" name="Área Específica" totalsRowFunction="none"/>
    <tableColumn id="5" name="Descripción del equipo electrico" totalsRowFunction="none"/>
    <tableColumn id="6" name="Cantidad" totalsRowFunction="none"/>
    <tableColumn id="7" name="Potencia (W)" totalsRowFunction="none"/>
    <tableColumn id="8" name="Total de consumo (W)" totalsRowFunction="none"/>
    <tableColumn id="9" name="Horas de operación (Lun-Vie)" totalsRowFunction="none"/>
    <tableColumn id="10" name="Horas de Operación (Sáb-Dom)" totalsRowFunction="none"/>
    <tableColumn id="11" name="Horas de operación Totales a la Semana" totalsRowFunction="none"/>
    <tableColumn id="12" name="Consumo en KWh/año" totalsRowFunction="none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EQUIPOS_PERSONALES" displayName="EQUIPOS_PERSONALES" ref="A8:L9" totalsRowShown="1" headerRowCount="1">
  <autoFilter ref="A8:L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Edificio" totalsRowLabel="Total"/>
    <tableColumn id="2" name="Nivel" totalsRowFunction="none"/>
    <tableColumn id="3" name="Secretaría/Dependencia" totalsRowFunction="none"/>
    <tableColumn id="4" name="Área Específica" totalsRowFunction="none"/>
    <tableColumn id="5" name="Descripción del equipo eléctrico" totalsRowFunction="none"/>
    <tableColumn id="6" name="Cantidad" totalsRowFunction="none"/>
    <tableColumn id="7" name="Potencia (W)" totalsRowFunction="none"/>
    <tableColumn id="8" name="Total de consumo (W)" totalsRowFunction="none"/>
    <tableColumn id="9" name="Horas de operación (Lun-Vie)" totalsRowFunction="none"/>
    <tableColumn id="10" name="Horas de Operación (Sáb-Dom)" totalsRowFunction="none"/>
    <tableColumn id="11" name="Horas de operación Totales a la Semana" totalsRowFunction="none"/>
    <tableColumn id="12" name="Consumo en KWh/año" totalsRowFunction="none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OTROS" displayName="OTROS" ref="A8:L9" totalsRowShown="1" headerRowCount="1">
  <autoFilter ref="A8:L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Edificio" totalsRowLabel="Total"/>
    <tableColumn id="2" name="Nivel" totalsRowFunction="none"/>
    <tableColumn id="3" name="Secretaría/Dependencia" totalsRowFunction="none"/>
    <tableColumn id="4" name="Area Especifica" totalsRowFunction="none"/>
    <tableColumn id="5" name="Descripción del equipo electrico" totalsRowFunction="none"/>
    <tableColumn id="6" name="Cantidad" totalsRowFunction="none"/>
    <tableColumn id="7" name="Potencia (W)" totalsRowFunction="none"/>
    <tableColumn id="8" name="Total de consumo (W)" totalsRowFunction="none"/>
    <tableColumn id="9" name="Horas de operación (Lun-Vie)" totalsRowFunction="none"/>
    <tableColumn id="10" name="Horas de Operación (Sáb-Dom)" totalsRowFunction="none"/>
    <tableColumn id="11" name="Horas de operación Totales a la Semana" totalsRowFunction="none"/>
    <tableColumn id="12" name="Consumo en KWh/año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P9"/>
  <sheetFormatPr defaultRowHeight="15" outlineLevelRow="0" outlineLevelCol="0" x14ac:dyDescent="55"/>
  <sheetData>
    <row r="8" spans="1:16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</row>
    <row r="9" spans="1:16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  <c r="F9">
        <v>10</v>
      </c>
      <c r="G9">
        <v>1</v>
      </c>
      <c r="H9">
        <f>F9*G9</f>
      </c>
      <c r="I9">
        <v>20</v>
      </c>
      <c r="J9">
        <f>H9*I9</f>
      </c>
      <c r="K9">
        <v>8</v>
      </c>
      <c r="L9">
        <v>2</v>
      </c>
      <c r="M9">
        <f>K9+L9</f>
      </c>
      <c r="N9">
        <v>120</v>
      </c>
      <c r="O9">
        <f>J9*M9*52/1000</f>
      </c>
      <c r="P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M8"/>
  <sheetFormatPr defaultRowHeight="15" outlineLevelRow="0" outlineLevelCol="0" x14ac:dyDescent="55"/>
  <sheetData>
    <row r="7" spans="1:13" x14ac:dyDescent="0.25">
      <c r="A7" t="s">
        <v>0</v>
      </c>
      <c r="B7" t="s">
        <v>1</v>
      </c>
      <c r="C7" t="s">
        <v>2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9</v>
      </c>
      <c r="J7" t="s">
        <v>10</v>
      </c>
      <c r="K7" t="s">
        <v>11</v>
      </c>
      <c r="L7" t="s">
        <v>12</v>
      </c>
      <c r="M7" t="s">
        <v>27</v>
      </c>
    </row>
    <row r="8" spans="1:13" x14ac:dyDescent="0.25">
      <c r="A8" t="s">
        <v>16</v>
      </c>
      <c r="B8" t="s">
        <v>17</v>
      </c>
      <c r="C8" t="s">
        <v>18</v>
      </c>
      <c r="D8" t="s">
        <v>28</v>
      </c>
      <c r="E8" t="s">
        <v>29</v>
      </c>
      <c r="F8">
        <v>2</v>
      </c>
      <c r="G8">
        <v>1</v>
      </c>
      <c r="H8">
        <v>120</v>
      </c>
      <c r="I8">
        <f>F8*H8</f>
      </c>
      <c r="J8">
        <v>8</v>
      </c>
      <c r="K8">
        <v>2</v>
      </c>
      <c r="L8">
        <f>-J8+K8</f>
      </c>
      <c r="M8">
        <f>I8*L8*52/1000</f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P10"/>
  <sheetFormatPr defaultRowHeight="15" outlineLevelRow="0" outlineLevelCol="0" x14ac:dyDescent="55"/>
  <sheetData>
    <row r="9" spans="1:16" x14ac:dyDescent="0.25">
      <c r="A9" t="s">
        <v>0</v>
      </c>
      <c r="B9" t="s">
        <v>1</v>
      </c>
      <c r="C9" t="s">
        <v>30</v>
      </c>
      <c r="D9" t="s">
        <v>31</v>
      </c>
      <c r="E9" t="s">
        <v>23</v>
      </c>
      <c r="F9" t="s">
        <v>24</v>
      </c>
      <c r="G9" t="s">
        <v>32</v>
      </c>
      <c r="H9" t="s">
        <v>26</v>
      </c>
      <c r="I9" t="s">
        <v>9</v>
      </c>
      <c r="J9" t="s">
        <v>33</v>
      </c>
      <c r="K9" t="s">
        <v>10</v>
      </c>
      <c r="L9" t="s">
        <v>11</v>
      </c>
      <c r="M9" t="s">
        <v>12</v>
      </c>
      <c r="N9" t="s">
        <v>27</v>
      </c>
      <c r="O9" t="s">
        <v>34</v>
      </c>
      <c r="P9" t="s">
        <v>15</v>
      </c>
    </row>
    <row r="10" spans="1:16" x14ac:dyDescent="0.25">
      <c r="A10" t="s">
        <v>16</v>
      </c>
      <c r="B10" t="s">
        <v>17</v>
      </c>
      <c r="C10" t="s">
        <v>18</v>
      </c>
      <c r="D10" t="s">
        <v>35</v>
      </c>
      <c r="E10" t="s">
        <v>36</v>
      </c>
      <c r="F10">
        <v>1</v>
      </c>
      <c r="G10">
        <v>2</v>
      </c>
      <c r="H10">
        <v>1100</v>
      </c>
      <c r="I10">
        <f>H10*F10</f>
      </c>
      <c r="J10">
        <v>220</v>
      </c>
      <c r="K10">
        <v>6</v>
      </c>
      <c r="L10">
        <v>1</v>
      </c>
      <c r="M10">
        <f>K10+L10</f>
      </c>
      <c r="N10">
        <f>I10*M10*52/1000</f>
      </c>
      <c r="O10">
        <v>2024</v>
      </c>
      <c r="P10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P9"/>
  <sheetFormatPr defaultRowHeight="15" outlineLevelRow="0" outlineLevelCol="0" x14ac:dyDescent="55"/>
  <sheetData>
    <row r="8" spans="1:16" x14ac:dyDescent="0.25">
      <c r="A8" t="s">
        <v>0</v>
      </c>
      <c r="B8" t="s">
        <v>1</v>
      </c>
      <c r="C8" t="s">
        <v>2</v>
      </c>
      <c r="D8" t="s">
        <v>31</v>
      </c>
      <c r="E8" t="s">
        <v>37</v>
      </c>
      <c r="F8" t="s">
        <v>24</v>
      </c>
      <c r="G8" t="s">
        <v>38</v>
      </c>
      <c r="H8" t="s">
        <v>39</v>
      </c>
      <c r="I8" t="s">
        <v>40</v>
      </c>
      <c r="J8" t="s">
        <v>26</v>
      </c>
      <c r="K8" t="s">
        <v>9</v>
      </c>
      <c r="L8" t="s">
        <v>10</v>
      </c>
      <c r="M8" t="s">
        <v>11</v>
      </c>
      <c r="N8" t="s">
        <v>12</v>
      </c>
      <c r="O8" t="s">
        <v>34</v>
      </c>
      <c r="P8" t="s">
        <v>41</v>
      </c>
    </row>
    <row r="9" spans="1:16" x14ac:dyDescent="0.25">
      <c r="A9" t="s">
        <v>16</v>
      </c>
      <c r="B9" t="s">
        <v>17</v>
      </c>
      <c r="C9" t="s">
        <v>18</v>
      </c>
      <c r="D9" t="s">
        <v>42</v>
      </c>
      <c r="E9" t="s">
        <v>43</v>
      </c>
      <c r="F9">
        <v>1</v>
      </c>
      <c r="G9">
        <v>12000</v>
      </c>
      <c r="H9">
        <v>220</v>
      </c>
      <c r="I9">
        <v>8</v>
      </c>
      <c r="J9">
        <v>950</v>
      </c>
      <c r="K9">
        <f>F9*J9</f>
      </c>
      <c r="L9">
        <v>8</v>
      </c>
      <c r="M9">
        <v>2</v>
      </c>
      <c r="N9">
        <f>L9+M9</f>
      </c>
      <c r="O9">
        <v>2023</v>
      </c>
      <c r="P9">
        <f>K9*N9*52/1000</f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9"/>
  <sheetFormatPr defaultRowHeight="15" outlineLevelRow="0" outlineLevelCol="0" x14ac:dyDescent="55"/>
  <sheetData>
    <row r="8" spans="1:12" x14ac:dyDescent="0.25">
      <c r="A8" t="s">
        <v>0</v>
      </c>
      <c r="B8" t="s">
        <v>1</v>
      </c>
      <c r="C8" t="s">
        <v>2</v>
      </c>
      <c r="D8" t="s">
        <v>31</v>
      </c>
      <c r="E8" t="s">
        <v>23</v>
      </c>
      <c r="F8" t="s">
        <v>24</v>
      </c>
      <c r="G8" t="s">
        <v>26</v>
      </c>
      <c r="H8" t="s">
        <v>9</v>
      </c>
      <c r="I8" t="s">
        <v>10</v>
      </c>
      <c r="J8" t="s">
        <v>11</v>
      </c>
      <c r="K8" t="s">
        <v>12</v>
      </c>
      <c r="L8" t="s">
        <v>27</v>
      </c>
    </row>
    <row r="9" spans="1:12" x14ac:dyDescent="0.25">
      <c r="A9" t="s">
        <v>16</v>
      </c>
      <c r="B9" t="s">
        <v>44</v>
      </c>
      <c r="C9" t="s">
        <v>18</v>
      </c>
      <c r="D9" t="s">
        <v>45</v>
      </c>
      <c r="E9" t="s">
        <v>46</v>
      </c>
      <c r="F9">
        <v>1</v>
      </c>
      <c r="G9">
        <v>250</v>
      </c>
      <c r="H9">
        <f>F9*G9</f>
      </c>
      <c r="I9">
        <v>8</v>
      </c>
      <c r="J9">
        <v>2</v>
      </c>
      <c r="K9">
        <f>I9+J9</f>
      </c>
      <c r="L9">
        <f>H9*K9*52/1000</f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9"/>
  <sheetFormatPr defaultRowHeight="15" outlineLevelRow="0" outlineLevelCol="0" x14ac:dyDescent="55"/>
  <sheetData>
    <row r="8" spans="1:12" x14ac:dyDescent="0.25">
      <c r="A8" t="s">
        <v>0</v>
      </c>
      <c r="B8" t="s">
        <v>1</v>
      </c>
      <c r="C8" t="s">
        <v>2</v>
      </c>
      <c r="D8" t="s">
        <v>3</v>
      </c>
      <c r="E8" t="s">
        <v>47</v>
      </c>
      <c r="F8" t="s">
        <v>24</v>
      </c>
      <c r="G8" t="s">
        <v>26</v>
      </c>
      <c r="H8" t="s">
        <v>9</v>
      </c>
      <c r="I8" t="s">
        <v>10</v>
      </c>
      <c r="J8" t="s">
        <v>11</v>
      </c>
      <c r="K8" t="s">
        <v>12</v>
      </c>
      <c r="L8" t="s">
        <v>27</v>
      </c>
    </row>
    <row r="9" spans="1:12" x14ac:dyDescent="0.25">
      <c r="A9" t="s">
        <v>16</v>
      </c>
      <c r="B9" t="s">
        <v>17</v>
      </c>
      <c r="C9" t="s">
        <v>18</v>
      </c>
      <c r="D9" t="s">
        <v>48</v>
      </c>
      <c r="E9" t="s">
        <v>49</v>
      </c>
      <c r="F9">
        <v>1</v>
      </c>
      <c r="G9">
        <v>30</v>
      </c>
      <c r="H9">
        <f>F9*G9</f>
      </c>
      <c r="I9">
        <v>24</v>
      </c>
      <c r="J9">
        <v>0</v>
      </c>
      <c r="K9">
        <f>I9+J9</f>
      </c>
      <c r="L9">
        <f>H9*K9*52/1000</f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9"/>
  <sheetFormatPr defaultRowHeight="15" outlineLevelRow="0" outlineLevelCol="0" x14ac:dyDescent="55"/>
  <sheetData>
    <row r="8" spans="1:12" x14ac:dyDescent="0.25">
      <c r="A8" t="s">
        <v>0</v>
      </c>
      <c r="B8" t="s">
        <v>1</v>
      </c>
      <c r="C8" t="s">
        <v>2</v>
      </c>
      <c r="D8" t="s">
        <v>3</v>
      </c>
      <c r="E8" t="s">
        <v>50</v>
      </c>
      <c r="F8" t="s">
        <v>24</v>
      </c>
      <c r="G8" t="s">
        <v>26</v>
      </c>
      <c r="H8" t="s">
        <v>9</v>
      </c>
      <c r="I8" t="s">
        <v>10</v>
      </c>
      <c r="J8" t="s">
        <v>11</v>
      </c>
      <c r="K8" t="s">
        <v>12</v>
      </c>
      <c r="L8" t="s">
        <v>27</v>
      </c>
    </row>
    <row r="9" spans="1:12" x14ac:dyDescent="0.25">
      <c r="A9" t="s">
        <v>16</v>
      </c>
      <c r="B9" t="s">
        <v>17</v>
      </c>
      <c r="C9" t="s">
        <v>18</v>
      </c>
      <c r="D9" t="s">
        <v>51</v>
      </c>
      <c r="E9" t="s">
        <v>52</v>
      </c>
      <c r="F9">
        <v>3</v>
      </c>
      <c r="G9">
        <v>90</v>
      </c>
      <c r="H9">
        <f>F9*G9</f>
      </c>
      <c r="I9">
        <v>10</v>
      </c>
      <c r="J9">
        <v>2</v>
      </c>
      <c r="K9">
        <f>I9+J9</f>
      </c>
      <c r="L9">
        <f>H9*K9*52/1000</f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9"/>
  <sheetFormatPr defaultRowHeight="15" outlineLevelRow="0" outlineLevelCol="0" x14ac:dyDescent="55"/>
  <sheetData>
    <row r="8" spans="1:12" x14ac:dyDescent="0.25">
      <c r="A8" t="s">
        <v>0</v>
      </c>
      <c r="B8" t="s">
        <v>1</v>
      </c>
      <c r="C8" t="s">
        <v>2</v>
      </c>
      <c r="D8" t="s">
        <v>53</v>
      </c>
      <c r="E8" t="s">
        <v>47</v>
      </c>
      <c r="F8" t="s">
        <v>24</v>
      </c>
      <c r="G8" t="s">
        <v>26</v>
      </c>
      <c r="H8" t="s">
        <v>9</v>
      </c>
      <c r="I8" t="s">
        <v>10</v>
      </c>
      <c r="J8" t="s">
        <v>11</v>
      </c>
      <c r="K8" t="s">
        <v>12</v>
      </c>
      <c r="L8" t="s">
        <v>27</v>
      </c>
    </row>
    <row r="9" spans="1:12" x14ac:dyDescent="0.25">
      <c r="A9" t="s">
        <v>16</v>
      </c>
      <c r="B9" t="s">
        <v>17</v>
      </c>
      <c r="C9" t="s">
        <v>18</v>
      </c>
      <c r="D9" t="s">
        <v>54</v>
      </c>
      <c r="E9" t="s">
        <v>55</v>
      </c>
      <c r="F9">
        <v>1</v>
      </c>
      <c r="G9">
        <v>120</v>
      </c>
      <c r="H9">
        <f>F9*G9</f>
      </c>
      <c r="I9">
        <v>10</v>
      </c>
      <c r="J9">
        <v>2</v>
      </c>
      <c r="K9">
        <f>I9+J9</f>
      </c>
      <c r="L9">
        <f>H9*K9*52/1000</f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ILUMINACIÓN</vt:lpstr>
      <vt:lpstr>CÓMPUTO</vt:lpstr>
      <vt:lpstr>FUERZA</vt:lpstr>
      <vt:lpstr>AIRE AC.</vt:lpstr>
      <vt:lpstr>ELECTRODOMESTICOS</vt:lpstr>
      <vt:lpstr>VOZ-DATOS Y VIDEOVIGILANCIA</vt:lpstr>
      <vt:lpstr>EQUIPOS PERSONALES</vt:lpstr>
      <vt:lpstr>OTROS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2026-10-05T17:27:02Z</dcterms:created>
  <dcterms:modified xsi:type="dcterms:W3CDTF">2026-10-05T17:27:02Z</dcterms:modified>
</cp:coreProperties>
</file>